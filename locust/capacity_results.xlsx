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  <sheet name="Normal use" sheetId="2" state="visible" r:id="rId3"/>
    <sheet name="Coding" sheetId="3" state="visible" r:id="rId4"/>
    <sheet name="Jupyter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3" authorId="0">
      <text>
        <r>
          <rPr>
            <sz val="11"/>
            <color rgb="FF000000"/>
            <rFont val="Calibri"/>
            <family val="2"/>
            <charset val="1"/>
          </rPr>
          <t xml:space="preserve">Limits chosen before the test (user brief: page p95 &lt; 2.5 s, graded submit p95 &lt; 5 s, errors &lt; 1 %, host not CPU-pegged).</t>
        </r>
      </text>
    </comment>
  </commentList>
</comments>
</file>

<file path=xl/sharedStrings.xml><?xml version="1.0" encoding="utf-8"?>
<sst xmlns="http://schemas.openxmlformats.org/spreadsheetml/2006/main" count="93" uniqueCount="75">
  <si>
    <t xml:space="preserve">Moodle capacity test — concurrently active students</t>
  </si>
  <si>
    <t xml:space="preserve">Test date 30 Sep 2026 · Locust staged ramp · each stage held 3.5 min, first 90 s excluded as ramp-up</t>
  </si>
  <si>
    <t xml:space="preserve">Capacity (highest stage that passed the SLA)</t>
  </si>
  <si>
    <t xml:space="preserve">Workload</t>
  </si>
  <si>
    <t xml:space="preserve">Capacity (students active at once)</t>
  </si>
  <si>
    <t xml:space="preserve">Limited by</t>
  </si>
  <si>
    <t xml:space="preserve">Details sheet</t>
  </si>
  <si>
    <t xml:space="preserve">Normal use: pages, forum, multiple-choice quiz</t>
  </si>
  <si>
    <t xml:space="preserve">Host CPU (Moodle PHP ≈ 22 cores at saturation)</t>
  </si>
  <si>
    <t xml:space="preserve">Normal use</t>
  </si>
  <si>
    <t xml:space="preserve">Coding quiz: CodeRunner answers run in Jobe</t>
  </si>
  <si>
    <t xml:space="preserve">Host CPU, shared by Moodle PHP + Jobe + DB</t>
  </si>
  <si>
    <t xml:space="preserve">Coding</t>
  </si>
  <si>
    <t xml:space="preserve">Jupyter notebooks (personal server + kernel each)</t>
  </si>
  <si>
    <t xml:space="preserve">Host RAM (≈ 180 MB per student)</t>
  </si>
  <si>
    <t xml:space="preserve">Jupyter</t>
  </si>
  <si>
    <t xml:space="preserve">The three capacities are not additive: all workloads share the same 28 CPU threads and 62 GB RAM. Jupyter stopped at 150 because host free RAM reached the 6 GB safety floor; practical limit ≈ 140.</t>
  </si>
  <si>
    <t xml:space="preserve">SLA — a stage PASSES only if every limit holds (edit the blue cells to re-judge the stages)</t>
  </si>
  <si>
    <t xml:space="preserve">Check</t>
  </si>
  <si>
    <t xml:space="preserve">Limit</t>
  </si>
  <si>
    <t xml:space="preserve">Unit</t>
  </si>
  <si>
    <t xml:space="preserve">Page loads p95 below</t>
  </si>
  <si>
    <t xml:space="preserve">seconds</t>
  </si>
  <si>
    <t xml:space="preserve">Graded submission p95 below</t>
  </si>
  <si>
    <t xml:space="preserve">Jupyter server start p95 below</t>
  </si>
  <si>
    <t xml:space="preserve">Jupyter cell run p95 below</t>
  </si>
  <si>
    <t xml:space="preserve">Error rate below</t>
  </si>
  <si>
    <t xml:space="preserve">fraction of requests</t>
  </si>
  <si>
    <t xml:space="preserve">Host CPU average below</t>
  </si>
  <si>
    <t xml:space="preserve">fraction of 28 threads</t>
  </si>
  <si>
    <t xml:space="preserve">Hardware condition</t>
  </si>
  <si>
    <t xml:space="preserve">CPU</t>
  </si>
  <si>
    <t xml:space="preserve">Intel i7-14700, 20 cores / 28 threads</t>
  </si>
  <si>
    <t xml:space="preserve">RAM</t>
  </si>
  <si>
    <t xml:space="preserve">62 GB total, ≈ 32 GB available to the test (rest used by other services)</t>
  </si>
  <si>
    <t xml:space="preserve">Disk</t>
  </si>
  <si>
    <t xml:space="preserve">NVMe SSD</t>
  </si>
  <si>
    <t xml:space="preserve">Host</t>
  </si>
  <si>
    <t xml:space="preserve">Shared with ASR / TTS / diarization / Open WebUI containers (idle during test); no swap activity</t>
  </si>
  <si>
    <t xml:space="preserve">Web tier</t>
  </si>
  <si>
    <t xml:space="preserve">Apache event MPM + PHP-FPM (112 children), MaxRequestWorkers 1024, KeepAliveTimeout 2 s</t>
  </si>
  <si>
    <t xml:space="preserve">Database</t>
  </si>
  <si>
    <t xml:space="preserve">MariaDB 11, max_connections 1100, 2 GB buffer pool; file sessions; no Redis/memcached</t>
  </si>
  <si>
    <t xml:space="preserve">Load generator</t>
  </si>
  <si>
    <t xml:space="preserve">Locust 2.46, 8 processes, on the same host (≈ 1 core at peak)</t>
  </si>
  <si>
    <t xml:space="preserve">Before tuning</t>
  </si>
  <si>
    <t xml:space="preserve">Apache prefork + mod_php, 256 workers: normal-use capacity was 750 (worker-limited, CPU 10 %)</t>
  </si>
  <si>
    <t xml:space="preserve">Track 1 — normal use (dashboard, course, reading page, forum, multiple-choice quiz; 5–15 s think time)</t>
  </si>
  <si>
    <t xml:space="preserve">Students online</t>
  </si>
  <si>
    <t xml:space="preserve">Requests / s</t>
  </si>
  <si>
    <t xml:space="preserve">Page load p95 (s)</t>
  </si>
  <si>
    <t xml:space="preserve">Quiz submit p95 (s)</t>
  </si>
  <si>
    <t xml:space="preserve">Requests (measured window)</t>
  </si>
  <si>
    <t xml:space="preserve">Errors</t>
  </si>
  <si>
    <t xml:space="preserve">Error rate</t>
  </si>
  <si>
    <t xml:space="preserve">Host CPU avg</t>
  </si>
  <si>
    <t xml:space="preserve">Moodle CPU (cores)</t>
  </si>
  <si>
    <t xml:space="preserve">DB CPU (cores)</t>
  </si>
  <si>
    <t xml:space="preserve">Free host RAM min (GB)</t>
  </si>
  <si>
    <t xml:space="preserve">Verdict</t>
  </si>
  <si>
    <t xml:space="preserve">Source: locust/results/20260930-1928-browse (stages_report.json, monitor.csv). CPU columns: averages over the measured window; 1 core = 100 % of one thread.</t>
  </si>
  <si>
    <t xml:space="preserve">Track 2 — CodeRunner coding quiz (write code 20–40 s, submit, answer run in Jobe sandbox; 10–30 s pause)</t>
  </si>
  <si>
    <t xml:space="preserve">Students coding</t>
  </si>
  <si>
    <t xml:space="preserve">Jobe runs / s</t>
  </si>
  <si>
    <t xml:space="preserve">Submit + grade p95 (s)</t>
  </si>
  <si>
    <t xml:space="preserve">Jobe CPU max (cores)</t>
  </si>
  <si>
    <t xml:space="preserve">Source: locust/results/20260930-2045-coding. 32,091 attempts graded, average mark 0.75 (3 of 4 sample answers correct) — confirms the code really ran. Jobe's own limit is 16 programs at once.</t>
  </si>
  <si>
    <t xml:space="preserve">Track 3 — Jupyter notebooks (open activity → personal server starts → pandas cell; a cell every 15–30 s)</t>
  </si>
  <si>
    <t xml:space="preserve">Students with a notebook open</t>
  </si>
  <si>
    <t xml:space="preserve">Server start p50 (s)</t>
  </si>
  <si>
    <t xml:space="preserve">Server start p95 (s)</t>
  </si>
  <si>
    <t xml:space="preserve">Cell run p95 (s)</t>
  </si>
  <si>
    <t xml:space="preserve">JupyterHub RAM (GB)</t>
  </si>
  <si>
    <t xml:space="preserve">RAM per student (MB)</t>
  </si>
  <si>
    <t xml:space="preserve">Source: locust/results/20260930-2110-jupyter. Server start times cover every server started during the stage (they start during ramp-up). The test stopped at 150 because free host RAM reached the 6 GB safety floor.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</si>
</sst>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#,##0"/>
    <numFmt numFmtId="167" formatCode="0.0"/>
    <numFmt numFmtId="168" formatCode="0.0%"/>
    <numFmt numFmtId="169" formatCode="0.00"/>
    <numFmt numFmtId="170" formatCode="0.00%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f aca="false">_xlfn.MAXIFS('Normal use'!A:A,'Normal use'!L:L,"PASS")</f>
        <v>3000</v>
      </c>
      <c r="C6" s="5" t="s">
        <v>8</v>
      </c>
      <c r="D6" s="7" t="s">
        <v>9</v>
      </c>
    </row>
    <row r="7" customFormat="false" ht="15" hidden="false" customHeight="false" outlineLevel="0" collapsed="false">
      <c r="A7" s="5" t="s">
        <v>10</v>
      </c>
      <c r="B7" s="6" t="n">
        <f aca="false">_xlfn.MAXIFS(Coding!A:A,Coding!L:L,"PASS")</f>
        <v>2000</v>
      </c>
      <c r="C7" s="5" t="s">
        <v>11</v>
      </c>
      <c r="D7" s="7" t="s">
        <v>12</v>
      </c>
    </row>
    <row r="8" customFormat="false" ht="15" hidden="false" customHeight="false" outlineLevel="0" collapsed="false">
      <c r="A8" s="5" t="s">
        <v>13</v>
      </c>
      <c r="B8" s="6" t="n">
        <f aca="false">_xlfn.MAXIFS(Jupyter!A:A,Jupyter!L:L,"PASS")</f>
        <v>150</v>
      </c>
      <c r="C8" s="5" t="s">
        <v>14</v>
      </c>
      <c r="D8" s="7" t="s">
        <v>15</v>
      </c>
    </row>
    <row r="9" customFormat="false" ht="15" hidden="false" customHeight="false" outlineLevel="0" collapsed="false">
      <c r="A9" s="2" t="s">
        <v>16</v>
      </c>
    </row>
    <row r="11" customFormat="false" ht="15" hidden="false" customHeight="false" outlineLevel="0" collapsed="false">
      <c r="A11" s="3" t="s">
        <v>17</v>
      </c>
    </row>
    <row r="12" customFormat="false" ht="45" hidden="false" customHeight="true" outlineLevel="0" collapsed="false">
      <c r="A12" s="4" t="s">
        <v>18</v>
      </c>
      <c r="B12" s="4" t="s">
        <v>19</v>
      </c>
      <c r="C12" s="4" t="s">
        <v>20</v>
      </c>
      <c r="D12" s="4"/>
    </row>
    <row r="13" customFormat="false" ht="15" hidden="false" customHeight="false" outlineLevel="0" collapsed="false">
      <c r="A13" s="5" t="s">
        <v>21</v>
      </c>
      <c r="B13" s="8" t="n">
        <v>2.5</v>
      </c>
      <c r="C13" s="5" t="s">
        <v>22</v>
      </c>
    </row>
    <row r="14" customFormat="false" ht="15" hidden="false" customHeight="false" outlineLevel="0" collapsed="false">
      <c r="A14" s="5" t="s">
        <v>23</v>
      </c>
      <c r="B14" s="8" t="n">
        <v>5</v>
      </c>
      <c r="C14" s="5" t="s">
        <v>22</v>
      </c>
    </row>
    <row r="15" customFormat="false" ht="15" hidden="false" customHeight="false" outlineLevel="0" collapsed="false">
      <c r="A15" s="5" t="s">
        <v>24</v>
      </c>
      <c r="B15" s="8" t="n">
        <v>10</v>
      </c>
      <c r="C15" s="5" t="s">
        <v>22</v>
      </c>
    </row>
    <row r="16" customFormat="false" ht="15" hidden="false" customHeight="false" outlineLevel="0" collapsed="false">
      <c r="A16" s="5" t="s">
        <v>25</v>
      </c>
      <c r="B16" s="8" t="n">
        <v>5</v>
      </c>
      <c r="C16" s="5" t="s">
        <v>22</v>
      </c>
    </row>
    <row r="17" customFormat="false" ht="15" hidden="false" customHeight="false" outlineLevel="0" collapsed="false">
      <c r="A17" s="5" t="s">
        <v>26</v>
      </c>
      <c r="B17" s="9" t="n">
        <v>0.01</v>
      </c>
      <c r="C17" s="5" t="s">
        <v>27</v>
      </c>
    </row>
    <row r="18" customFormat="false" ht="15" hidden="false" customHeight="false" outlineLevel="0" collapsed="false">
      <c r="A18" s="5" t="s">
        <v>28</v>
      </c>
      <c r="B18" s="9" t="n">
        <v>0.9</v>
      </c>
      <c r="C18" s="5" t="s">
        <v>29</v>
      </c>
    </row>
    <row r="20" customFormat="false" ht="15" hidden="false" customHeight="false" outlineLevel="0" collapsed="false">
      <c r="A20" s="3" t="s">
        <v>30</v>
      </c>
    </row>
    <row r="21" customFormat="false" ht="15" hidden="false" customHeight="false" outlineLevel="0" collapsed="false">
      <c r="A21" s="3" t="s">
        <v>31</v>
      </c>
      <c r="B21" s="10" t="s">
        <v>32</v>
      </c>
    </row>
    <row r="22" customFormat="false" ht="15" hidden="false" customHeight="false" outlineLevel="0" collapsed="false">
      <c r="A22" s="3" t="s">
        <v>33</v>
      </c>
      <c r="B22" s="10" t="s">
        <v>34</v>
      </c>
    </row>
    <row r="23" customFormat="false" ht="15" hidden="false" customHeight="false" outlineLevel="0" collapsed="false">
      <c r="A23" s="3" t="s">
        <v>35</v>
      </c>
      <c r="B23" s="10" t="s">
        <v>36</v>
      </c>
    </row>
    <row r="24" customFormat="false" ht="15" hidden="false" customHeight="false" outlineLevel="0" collapsed="false">
      <c r="A24" s="3" t="s">
        <v>37</v>
      </c>
      <c r="B24" s="10" t="s">
        <v>38</v>
      </c>
    </row>
    <row r="25" customFormat="false" ht="15" hidden="false" customHeight="false" outlineLevel="0" collapsed="false">
      <c r="A25" s="3" t="s">
        <v>39</v>
      </c>
      <c r="B25" s="10" t="s">
        <v>40</v>
      </c>
    </row>
    <row r="26" customFormat="false" ht="15" hidden="false" customHeight="false" outlineLevel="0" collapsed="false">
      <c r="A26" s="3" t="s">
        <v>41</v>
      </c>
      <c r="B26" s="10" t="s">
        <v>42</v>
      </c>
    </row>
    <row r="27" customFormat="false" ht="15" hidden="false" customHeight="false" outlineLevel="0" collapsed="false">
      <c r="A27" s="3" t="s">
        <v>43</v>
      </c>
      <c r="B27" s="10" t="s">
        <v>44</v>
      </c>
    </row>
    <row r="28" customFormat="false" ht="15" hidden="false" customHeight="false" outlineLevel="0" collapsed="false">
      <c r="A28" s="3" t="s">
        <v>45</v>
      </c>
      <c r="B28" s="1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3" t="s">
        <v>47</v>
      </c>
    </row>
    <row r="3" customFormat="false" ht="45" hidden="false" customHeight="true" outlineLevel="0" collapsed="false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55</v>
      </c>
      <c r="I3" s="4" t="s">
        <v>56</v>
      </c>
      <c r="J3" s="4" t="s">
        <v>57</v>
      </c>
      <c r="K3" s="4" t="s">
        <v>58</v>
      </c>
      <c r="L3" s="4" t="s">
        <v>59</v>
      </c>
    </row>
    <row r="4" customFormat="false" ht="15" hidden="false" customHeight="false" outlineLevel="0" collapsed="false">
      <c r="A4" s="11" t="n">
        <v>1000</v>
      </c>
      <c r="B4" s="12" t="n">
        <v>112.2</v>
      </c>
      <c r="C4" s="13" t="n">
        <v>0.054</v>
      </c>
      <c r="D4" s="13" t="n">
        <v>0.061</v>
      </c>
      <c r="E4" s="11" t="n">
        <v>13498</v>
      </c>
      <c r="F4" s="11" t="n">
        <v>0</v>
      </c>
      <c r="G4" s="14" t="n">
        <f aca="false">IF(E4=0,0,F4/E4)</f>
        <v>0</v>
      </c>
      <c r="H4" s="15" t="n">
        <v>0.159</v>
      </c>
      <c r="I4" s="12" t="n">
        <v>3.42</v>
      </c>
      <c r="J4" s="12" t="n">
        <v>0.66</v>
      </c>
      <c r="K4" s="12" t="n">
        <v>32.1</v>
      </c>
      <c r="L4" s="7" t="str">
        <f aca="false">IF(AND(C4&lt;Summary!$B$13,D4&lt;Summary!$B$14,G4&lt;Summary!$B$17,H4&lt;Summary!$B$18),"PASS","FAIL")</f>
        <v>PASS</v>
      </c>
    </row>
    <row r="5" customFormat="false" ht="15" hidden="false" customHeight="false" outlineLevel="0" collapsed="false">
      <c r="A5" s="11" t="n">
        <v>2000</v>
      </c>
      <c r="B5" s="12" t="n">
        <v>224</v>
      </c>
      <c r="C5" s="13" t="n">
        <v>0.07</v>
      </c>
      <c r="D5" s="13" t="n">
        <v>0.081</v>
      </c>
      <c r="E5" s="11" t="n">
        <v>26958</v>
      </c>
      <c r="F5" s="11" t="n">
        <v>0</v>
      </c>
      <c r="G5" s="14" t="n">
        <f aca="false">IF(E5=0,0,F5/E5)</f>
        <v>0</v>
      </c>
      <c r="H5" s="15" t="n">
        <v>0.432</v>
      </c>
      <c r="I5" s="12" t="n">
        <v>9.8</v>
      </c>
      <c r="J5" s="12" t="n">
        <v>1.76</v>
      </c>
      <c r="K5" s="12" t="n">
        <v>31.7</v>
      </c>
      <c r="L5" s="7" t="str">
        <f aca="false">IF(AND(C5&lt;Summary!$B$13,D5&lt;Summary!$B$14,G5&lt;Summary!$B$17,H5&lt;Summary!$B$18),"PASS","FAIL")</f>
        <v>PASS</v>
      </c>
    </row>
    <row r="6" customFormat="false" ht="15" hidden="false" customHeight="false" outlineLevel="0" collapsed="false">
      <c r="A6" s="11" t="n">
        <v>3000</v>
      </c>
      <c r="B6" s="12" t="n">
        <v>335.6</v>
      </c>
      <c r="C6" s="13" t="n">
        <v>0.168</v>
      </c>
      <c r="D6" s="13" t="n">
        <v>0.226</v>
      </c>
      <c r="E6" s="11" t="n">
        <v>40139</v>
      </c>
      <c r="F6" s="11" t="n">
        <v>0</v>
      </c>
      <c r="G6" s="14" t="n">
        <f aca="false">IF(E6=0,0,F6/E6)</f>
        <v>0</v>
      </c>
      <c r="H6" s="15" t="n">
        <v>0.855</v>
      </c>
      <c r="I6" s="12" t="n">
        <v>18.45</v>
      </c>
      <c r="J6" s="12" t="n">
        <v>3.56</v>
      </c>
      <c r="K6" s="12" t="n">
        <v>31.4</v>
      </c>
      <c r="L6" s="7" t="str">
        <f aca="false">IF(AND(C6&lt;Summary!$B$13,D6&lt;Summary!$B$14,G6&lt;Summary!$B$17,H6&lt;Summary!$B$18),"PASS","FAIL")</f>
        <v>PASS</v>
      </c>
    </row>
    <row r="7" customFormat="false" ht="15" hidden="false" customHeight="false" outlineLevel="0" collapsed="false">
      <c r="A7" s="11" t="n">
        <v>3500</v>
      </c>
      <c r="B7" s="12" t="n">
        <v>352.2</v>
      </c>
      <c r="C7" s="13" t="n">
        <v>1.492</v>
      </c>
      <c r="D7" s="13" t="n">
        <v>1.843</v>
      </c>
      <c r="E7" s="11" t="n">
        <v>42495</v>
      </c>
      <c r="F7" s="11" t="n">
        <v>0</v>
      </c>
      <c r="G7" s="14" t="n">
        <f aca="false">IF(E7=0,0,F7/E7)</f>
        <v>0</v>
      </c>
      <c r="H7" s="15" t="n">
        <v>1</v>
      </c>
      <c r="I7" s="12" t="n">
        <v>21.8</v>
      </c>
      <c r="J7" s="12" t="n">
        <v>4.31</v>
      </c>
      <c r="K7" s="12" t="n">
        <v>30.9</v>
      </c>
      <c r="L7" s="7" t="str">
        <f aca="false">IF(AND(C7&lt;Summary!$B$13,D7&lt;Summary!$B$14,G7&lt;Summary!$B$17,H7&lt;Summary!$B$18),"PASS","FAIL")</f>
        <v>FAIL</v>
      </c>
    </row>
    <row r="8" customFormat="false" ht="15" hidden="false" customHeight="false" outlineLevel="0" collapsed="false">
      <c r="A8" s="11" t="n">
        <v>4000</v>
      </c>
      <c r="B8" s="12" t="n">
        <v>352</v>
      </c>
      <c r="C8" s="13" t="n">
        <v>4.046</v>
      </c>
      <c r="D8" s="13" t="n">
        <v>4.368</v>
      </c>
      <c r="E8" s="11" t="n">
        <v>42120</v>
      </c>
      <c r="F8" s="11" t="n">
        <v>0</v>
      </c>
      <c r="G8" s="14" t="n">
        <f aca="false">IF(E8=0,0,F8/E8)</f>
        <v>0</v>
      </c>
      <c r="H8" s="15" t="n">
        <v>1</v>
      </c>
      <c r="I8" s="12" t="n">
        <v>21.79</v>
      </c>
      <c r="J8" s="12" t="n">
        <v>4.34</v>
      </c>
      <c r="K8" s="12" t="n">
        <v>30.5</v>
      </c>
      <c r="L8" s="7" t="str">
        <f aca="false">IF(AND(C8&lt;Summary!$B$13,D8&lt;Summary!$B$14,G8&lt;Summary!$B$17,H8&lt;Summary!$B$18),"PASS","FAIL")</f>
        <v>FAIL</v>
      </c>
    </row>
    <row r="9" customFormat="false" ht="15" hidden="false" customHeight="false" outlineLevel="0" collapsed="false">
      <c r="A9" s="11" t="n">
        <v>4500</v>
      </c>
      <c r="B9" s="12" t="n">
        <v>352.2</v>
      </c>
      <c r="C9" s="13" t="n">
        <v>4.316</v>
      </c>
      <c r="D9" s="13" t="n">
        <v>6.143</v>
      </c>
      <c r="E9" s="11" t="n">
        <v>42170</v>
      </c>
      <c r="F9" s="11" t="n">
        <v>0</v>
      </c>
      <c r="G9" s="14" t="n">
        <f aca="false">IF(E9=0,0,F9/E9)</f>
        <v>0</v>
      </c>
      <c r="H9" s="15" t="n">
        <v>1</v>
      </c>
      <c r="I9" s="12" t="n">
        <v>21.71</v>
      </c>
      <c r="J9" s="12" t="n">
        <v>4.38</v>
      </c>
      <c r="K9" s="12" t="n">
        <v>30.4</v>
      </c>
      <c r="L9" s="7" t="str">
        <f aca="false">IF(AND(C9&lt;Summary!$B$13,D9&lt;Summary!$B$14,G9&lt;Summary!$B$17,H9&lt;Summary!$B$18),"PASS","FAIL")</f>
        <v>FAIL</v>
      </c>
    </row>
    <row r="10" customFormat="false" ht="15" hidden="false" customHeight="false" outlineLevel="0" collapsed="false">
      <c r="A10" s="11" t="n">
        <v>5000</v>
      </c>
      <c r="B10" s="12" t="n">
        <v>352.6</v>
      </c>
      <c r="C10" s="13" t="n">
        <v>7.857</v>
      </c>
      <c r="D10" s="13" t="n">
        <v>10.085</v>
      </c>
      <c r="E10" s="11" t="n">
        <v>42234</v>
      </c>
      <c r="F10" s="11" t="n">
        <v>89</v>
      </c>
      <c r="G10" s="14" t="n">
        <f aca="false">IF(E10=0,0,F10/E10)</f>
        <v>0.00210730690912535</v>
      </c>
      <c r="H10" s="15" t="n">
        <v>1</v>
      </c>
      <c r="I10" s="12" t="n">
        <v>21.7</v>
      </c>
      <c r="J10" s="12" t="n">
        <v>4.38</v>
      </c>
      <c r="K10" s="12" t="n">
        <v>30.4</v>
      </c>
      <c r="L10" s="7" t="str">
        <f aca="false">IF(AND(C10&lt;Summary!$B$13,D10&lt;Summary!$B$14,G10&lt;Summary!$B$17,H10&lt;Summary!$B$18),"PASS","FAIL")</f>
        <v>FAIL</v>
      </c>
    </row>
    <row r="11" customFormat="false" ht="15" hidden="false" customHeight="false" outlineLevel="0" collapsed="false">
      <c r="A11" s="11" t="n">
        <v>6000</v>
      </c>
      <c r="B11" s="12" t="n">
        <v>352.6</v>
      </c>
      <c r="C11" s="13" t="n">
        <v>9.638</v>
      </c>
      <c r="D11" s="13" t="n">
        <v>13.596</v>
      </c>
      <c r="E11" s="11" t="n">
        <v>42678</v>
      </c>
      <c r="F11" s="11" t="n">
        <v>266</v>
      </c>
      <c r="G11" s="14" t="n">
        <f aca="false">IF(E11=0,0,F11/E11)</f>
        <v>0.00623271943390037</v>
      </c>
      <c r="H11" s="15" t="n">
        <v>1</v>
      </c>
      <c r="I11" s="12" t="n">
        <v>21.66</v>
      </c>
      <c r="J11" s="12" t="n">
        <v>4.4</v>
      </c>
      <c r="K11" s="12" t="n">
        <v>30.2</v>
      </c>
      <c r="L11" s="7" t="str">
        <f aca="false">IF(AND(C11&lt;Summary!$B$13,D11&lt;Summary!$B$14,G11&lt;Summary!$B$17,H11&lt;Summary!$B$18),"PASS","FAIL")</f>
        <v>FAIL</v>
      </c>
    </row>
    <row r="13" customFormat="false" ht="15" hidden="false" customHeight="false" outlineLevel="0" collapsed="false">
      <c r="A13" s="2" t="s">
        <v>60</v>
      </c>
    </row>
  </sheetData>
  <conditionalFormatting sqref="L4:L11">
    <cfRule type="expression" priority="2" aboveAverage="0" equalAverage="0" bottom="0" percent="0" rank="0" text="" dxfId="0">
      <formula>L4="PASS"</formula>
    </cfRule>
    <cfRule type="expression" priority="3" aboveAverage="0" equalAverage="0" bottom="0" percent="0" rank="0" text="" dxfId="1">
      <formula>L4="FAIL"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0" style="0" width="12"/>
    <col collapsed="false" customWidth="true" hidden="false" outlineLevel="0" max="12" min="12" style="0" width="10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3" t="s">
        <v>61</v>
      </c>
    </row>
    <row r="3" customFormat="false" ht="45" hidden="false" customHeight="true" outlineLevel="0" collapsed="false">
      <c r="A3" s="4" t="s">
        <v>62</v>
      </c>
      <c r="B3" s="4" t="s">
        <v>49</v>
      </c>
      <c r="C3" s="4" t="s">
        <v>63</v>
      </c>
      <c r="D3" s="4" t="s">
        <v>50</v>
      </c>
      <c r="E3" s="4" t="s">
        <v>64</v>
      </c>
      <c r="F3" s="4" t="s">
        <v>52</v>
      </c>
      <c r="G3" s="4" t="s">
        <v>53</v>
      </c>
      <c r="H3" s="4" t="s">
        <v>54</v>
      </c>
      <c r="I3" s="4" t="s">
        <v>55</v>
      </c>
      <c r="J3" s="4" t="s">
        <v>56</v>
      </c>
      <c r="K3" s="4" t="s">
        <v>65</v>
      </c>
      <c r="L3" s="4" t="s">
        <v>59</v>
      </c>
      <c r="M3" s="4" t="s">
        <v>57</v>
      </c>
    </row>
    <row r="4" customFormat="false" ht="15" hidden="false" customHeight="false" outlineLevel="0" collapsed="false">
      <c r="A4" s="11" t="n">
        <v>100</v>
      </c>
      <c r="B4" s="12" t="n">
        <v>8.2</v>
      </c>
      <c r="C4" s="12" t="n">
        <v>2</v>
      </c>
      <c r="D4" s="13" t="n">
        <v>0.045</v>
      </c>
      <c r="E4" s="13" t="n">
        <v>0.145</v>
      </c>
      <c r="F4" s="11" t="n">
        <v>984</v>
      </c>
      <c r="G4" s="11" t="n">
        <v>0</v>
      </c>
      <c r="H4" s="14" t="n">
        <f aca="false">IF(F4=0,0,G4/F4)</f>
        <v>0</v>
      </c>
      <c r="I4" s="15" t="n">
        <v>0.021</v>
      </c>
      <c r="J4" s="12" t="n">
        <v>0.19</v>
      </c>
      <c r="K4" s="12" t="n">
        <v>0.42</v>
      </c>
      <c r="L4" s="7" t="str">
        <f aca="false">IF(AND(D4&lt;Summary!$B$13,E4&lt;Summary!$B$14,H4&lt;Summary!$B$17,I4&lt;Summary!$B$18),"PASS","FAIL")</f>
        <v>PASS</v>
      </c>
      <c r="M4" s="12" t="n">
        <v>0.05</v>
      </c>
    </row>
    <row r="5" customFormat="false" ht="15" hidden="false" customHeight="false" outlineLevel="0" collapsed="false">
      <c r="A5" s="11" t="n">
        <v>250</v>
      </c>
      <c r="B5" s="12" t="n">
        <v>20.1</v>
      </c>
      <c r="C5" s="12" t="n">
        <v>4.8</v>
      </c>
      <c r="D5" s="13" t="n">
        <v>0.046</v>
      </c>
      <c r="E5" s="13" t="n">
        <v>0.146</v>
      </c>
      <c r="F5" s="11" t="n">
        <v>2421</v>
      </c>
      <c r="G5" s="11" t="n">
        <v>0</v>
      </c>
      <c r="H5" s="14" t="n">
        <f aca="false">IF(F5=0,0,G5/F5)</f>
        <v>0</v>
      </c>
      <c r="I5" s="15" t="n">
        <v>0.048</v>
      </c>
      <c r="J5" s="12" t="n">
        <v>0.57</v>
      </c>
      <c r="K5" s="12" t="n">
        <v>0.68</v>
      </c>
      <c r="L5" s="7" t="str">
        <f aca="false">IF(AND(D5&lt;Summary!$B$13,E5&lt;Summary!$B$14,H5&lt;Summary!$B$17,I5&lt;Summary!$B$18),"PASS","FAIL")</f>
        <v>PASS</v>
      </c>
      <c r="M5" s="12" t="n">
        <v>0.13</v>
      </c>
    </row>
    <row r="6" customFormat="false" ht="15" hidden="false" customHeight="false" outlineLevel="0" collapsed="false">
      <c r="A6" s="11" t="n">
        <v>500</v>
      </c>
      <c r="B6" s="12" t="n">
        <v>40.5</v>
      </c>
      <c r="C6" s="12" t="n">
        <v>9.9</v>
      </c>
      <c r="D6" s="13" t="n">
        <v>0.05</v>
      </c>
      <c r="E6" s="13" t="n">
        <v>0.154</v>
      </c>
      <c r="F6" s="11" t="n">
        <v>4869</v>
      </c>
      <c r="G6" s="11" t="n">
        <v>0</v>
      </c>
      <c r="H6" s="14" t="n">
        <f aca="false">IF(F6=0,0,G6/F6)</f>
        <v>0</v>
      </c>
      <c r="I6" s="15" t="n">
        <v>0.095</v>
      </c>
      <c r="J6" s="12" t="n">
        <v>1.12</v>
      </c>
      <c r="K6" s="12" t="n">
        <v>1.54</v>
      </c>
      <c r="L6" s="7" t="str">
        <f aca="false">IF(AND(D6&lt;Summary!$B$13,E6&lt;Summary!$B$14,H6&lt;Summary!$B$17,I6&lt;Summary!$B$18),"PASS","FAIL")</f>
        <v>PASS</v>
      </c>
      <c r="M6" s="12" t="n">
        <v>0.24</v>
      </c>
    </row>
    <row r="7" customFormat="false" ht="15" hidden="false" customHeight="false" outlineLevel="0" collapsed="false">
      <c r="A7" s="11" t="n">
        <v>1000</v>
      </c>
      <c r="B7" s="12" t="n">
        <v>80.6</v>
      </c>
      <c r="C7" s="12" t="n">
        <v>20.1</v>
      </c>
      <c r="D7" s="13" t="n">
        <v>0.065</v>
      </c>
      <c r="E7" s="13" t="n">
        <v>0.183</v>
      </c>
      <c r="F7" s="11" t="n">
        <v>9692</v>
      </c>
      <c r="G7" s="11" t="n">
        <v>0</v>
      </c>
      <c r="H7" s="14" t="n">
        <f aca="false">IF(F7=0,0,G7/F7)</f>
        <v>0</v>
      </c>
      <c r="I7" s="15" t="n">
        <v>0.226</v>
      </c>
      <c r="J7" s="12" t="n">
        <v>3.13</v>
      </c>
      <c r="K7" s="12" t="n">
        <v>2.87</v>
      </c>
      <c r="L7" s="7" t="str">
        <f aca="false">IF(AND(D7&lt;Summary!$B$13,E7&lt;Summary!$B$14,H7&lt;Summary!$B$17,I7&lt;Summary!$B$18),"PASS","FAIL")</f>
        <v>PASS</v>
      </c>
      <c r="M7" s="12" t="n">
        <v>0.8</v>
      </c>
    </row>
    <row r="8" customFormat="false" ht="15" hidden="false" customHeight="false" outlineLevel="0" collapsed="false">
      <c r="A8" s="11" t="n">
        <v>1500</v>
      </c>
      <c r="B8" s="12" t="n">
        <v>120</v>
      </c>
      <c r="C8" s="12" t="n">
        <v>30.2</v>
      </c>
      <c r="D8" s="13" t="n">
        <v>0.076</v>
      </c>
      <c r="E8" s="13" t="n">
        <v>0.204</v>
      </c>
      <c r="F8" s="11" t="n">
        <v>14324</v>
      </c>
      <c r="G8" s="11" t="n">
        <v>0</v>
      </c>
      <c r="H8" s="14" t="n">
        <f aca="false">IF(F8=0,0,G8/F8)</f>
        <v>0</v>
      </c>
      <c r="I8" s="15" t="n">
        <v>0.383</v>
      </c>
      <c r="J8" s="12" t="n">
        <v>5.45</v>
      </c>
      <c r="K8" s="12" t="n">
        <v>4.45</v>
      </c>
      <c r="L8" s="7" t="str">
        <f aca="false">IF(AND(D8&lt;Summary!$B$13,E8&lt;Summary!$B$14,H8&lt;Summary!$B$17,I8&lt;Summary!$B$18),"PASS","FAIL")</f>
        <v>PASS</v>
      </c>
      <c r="M8" s="12" t="n">
        <v>1.26</v>
      </c>
    </row>
    <row r="9" customFormat="false" ht="15" hidden="false" customHeight="false" outlineLevel="0" collapsed="false">
      <c r="A9" s="11" t="n">
        <v>2000</v>
      </c>
      <c r="B9" s="12" t="n">
        <v>159.7</v>
      </c>
      <c r="C9" s="12" t="n">
        <v>39.9</v>
      </c>
      <c r="D9" s="13" t="n">
        <v>0.097</v>
      </c>
      <c r="E9" s="13" t="n">
        <v>0.266</v>
      </c>
      <c r="F9" s="11" t="n">
        <v>19221</v>
      </c>
      <c r="G9" s="11" t="n">
        <v>0</v>
      </c>
      <c r="H9" s="14" t="n">
        <f aca="false">IF(F9=0,0,G9/F9)</f>
        <v>0</v>
      </c>
      <c r="I9" s="15" t="n">
        <v>0.599</v>
      </c>
      <c r="J9" s="12" t="n">
        <v>8.61</v>
      </c>
      <c r="K9" s="12" t="n">
        <v>6.17</v>
      </c>
      <c r="L9" s="7" t="str">
        <f aca="false">IF(AND(D9&lt;Summary!$B$13,E9&lt;Summary!$B$14,H9&lt;Summary!$B$17,I9&lt;Summary!$B$18),"PASS","FAIL")</f>
        <v>PASS</v>
      </c>
      <c r="M9" s="12" t="n">
        <v>2.07</v>
      </c>
    </row>
    <row r="10" customFormat="false" ht="15" hidden="false" customHeight="false" outlineLevel="0" collapsed="false">
      <c r="A10" s="11" t="n">
        <v>3000</v>
      </c>
      <c r="B10" s="12" t="n">
        <v>204.9</v>
      </c>
      <c r="C10" s="12" t="n">
        <v>51.3</v>
      </c>
      <c r="D10" s="13" t="n">
        <v>2.944</v>
      </c>
      <c r="E10" s="13" t="n">
        <v>8.807</v>
      </c>
      <c r="F10" s="11" t="n">
        <v>24527</v>
      </c>
      <c r="G10" s="11" t="n">
        <v>0</v>
      </c>
      <c r="H10" s="14" t="n">
        <f aca="false">IF(F10=0,0,G10/F10)</f>
        <v>0</v>
      </c>
      <c r="I10" s="15" t="n">
        <v>0.988</v>
      </c>
      <c r="J10" s="12" t="n">
        <v>13.82</v>
      </c>
      <c r="K10" s="12" t="n">
        <v>9.57</v>
      </c>
      <c r="L10" s="7" t="str">
        <f aca="false">IF(AND(D10&lt;Summary!$B$13,E10&lt;Summary!$B$14,H10&lt;Summary!$B$17,I10&lt;Summary!$B$18),"PASS","FAIL")</f>
        <v>FAIL</v>
      </c>
      <c r="M10" s="12" t="n">
        <v>3.64</v>
      </c>
    </row>
    <row r="12" customFormat="false" ht="15" hidden="false" customHeight="false" outlineLevel="0" collapsed="false">
      <c r="A12" s="2" t="s">
        <v>66</v>
      </c>
    </row>
  </sheetData>
  <conditionalFormatting sqref="L4:L10">
    <cfRule type="expression" priority="2" aboveAverage="0" equalAverage="0" bottom="0" percent="0" rank="0" text="" dxfId="0">
      <formula>L4="PASS"</formula>
    </cfRule>
    <cfRule type="expression" priority="3" aboveAverage="0" equalAverage="0" bottom="0" percent="0" rank="0" text="" dxfId="1">
      <formula>L4="FAIL"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1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3" t="s">
        <v>67</v>
      </c>
    </row>
    <row r="3" customFormat="false" ht="45" hidden="false" customHeight="true" outlineLevel="0" collapsed="false">
      <c r="A3" s="4" t="s">
        <v>68</v>
      </c>
      <c r="B3" s="4" t="s">
        <v>69</v>
      </c>
      <c r="C3" s="4" t="s">
        <v>70</v>
      </c>
      <c r="D3" s="4" t="s">
        <v>71</v>
      </c>
      <c r="E3" s="4" t="s">
        <v>52</v>
      </c>
      <c r="F3" s="4" t="s">
        <v>53</v>
      </c>
      <c r="G3" s="4" t="s">
        <v>54</v>
      </c>
      <c r="H3" s="4" t="s">
        <v>72</v>
      </c>
      <c r="I3" s="4" t="s">
        <v>73</v>
      </c>
      <c r="J3" s="4" t="s">
        <v>58</v>
      </c>
      <c r="K3" s="4" t="s">
        <v>55</v>
      </c>
      <c r="L3" s="4" t="s">
        <v>59</v>
      </c>
    </row>
    <row r="4" customFormat="false" ht="15" hidden="false" customHeight="false" outlineLevel="0" collapsed="false">
      <c r="A4" s="11" t="n">
        <v>10</v>
      </c>
      <c r="B4" s="12" t="n">
        <v>2.09</v>
      </c>
      <c r="C4" s="12" t="n">
        <v>3.72</v>
      </c>
      <c r="D4" s="13" t="n">
        <v>0.05</v>
      </c>
      <c r="E4" s="11" t="n">
        <v>52</v>
      </c>
      <c r="F4" s="11" t="n">
        <v>0</v>
      </c>
      <c r="G4" s="14" t="n">
        <f aca="false">IF(E4=0,0,F4/E4)</f>
        <v>0</v>
      </c>
      <c r="H4" s="12" t="n">
        <v>1.82</v>
      </c>
      <c r="I4" s="11" t="n">
        <f aca="false">H4*1024/A4</f>
        <v>186.368</v>
      </c>
      <c r="J4" s="12" t="n">
        <v>30.4</v>
      </c>
      <c r="K4" s="15" t="n">
        <v>0.005</v>
      </c>
      <c r="L4" s="7" t="str">
        <f aca="false">IF(AND(C4&lt;Summary!$B$15,D4&lt;Summary!$B$16,G4&lt;Summary!$B$17,K4&lt;Summary!$B$18),"PASS","FAIL")</f>
        <v>PASS</v>
      </c>
    </row>
    <row r="5" customFormat="false" ht="15" hidden="false" customHeight="false" outlineLevel="0" collapsed="false">
      <c r="A5" s="11" t="n">
        <v>25</v>
      </c>
      <c r="B5" s="12" t="n">
        <v>2.32</v>
      </c>
      <c r="C5" s="12" t="n">
        <v>3.01</v>
      </c>
      <c r="D5" s="13" t="n">
        <v>0.061</v>
      </c>
      <c r="E5" s="11" t="n">
        <v>135</v>
      </c>
      <c r="F5" s="11" t="n">
        <v>0</v>
      </c>
      <c r="G5" s="14" t="n">
        <f aca="false">IF(E5=0,0,F5/E5)</f>
        <v>0</v>
      </c>
      <c r="H5" s="12" t="n">
        <v>4.42</v>
      </c>
      <c r="I5" s="11" t="n">
        <f aca="false">H5*1024/A5</f>
        <v>181.0432</v>
      </c>
      <c r="J5" s="12" t="n">
        <v>27.9</v>
      </c>
      <c r="K5" s="15" t="n">
        <v>0.005</v>
      </c>
      <c r="L5" s="7" t="str">
        <f aca="false">IF(AND(C5&lt;Summary!$B$15,D5&lt;Summary!$B$16,G5&lt;Summary!$B$17,K5&lt;Summary!$B$18),"PASS","FAIL")</f>
        <v>PASS</v>
      </c>
    </row>
    <row r="6" customFormat="false" ht="15" hidden="false" customHeight="false" outlineLevel="0" collapsed="false">
      <c r="A6" s="11" t="n">
        <v>50</v>
      </c>
      <c r="B6" s="12" t="n">
        <v>2.05</v>
      </c>
      <c r="C6" s="12" t="n">
        <v>3.54</v>
      </c>
      <c r="D6" s="13" t="n">
        <v>0.057</v>
      </c>
      <c r="E6" s="11" t="n">
        <v>268</v>
      </c>
      <c r="F6" s="11" t="n">
        <v>0</v>
      </c>
      <c r="G6" s="14" t="n">
        <f aca="false">IF(E6=0,0,F6/E6)</f>
        <v>0</v>
      </c>
      <c r="H6" s="12" t="n">
        <v>8.76</v>
      </c>
      <c r="I6" s="11" t="n">
        <f aca="false">H6*1024/A6</f>
        <v>179.4048</v>
      </c>
      <c r="J6" s="12" t="n">
        <v>23.6</v>
      </c>
      <c r="K6" s="15" t="n">
        <v>0.006</v>
      </c>
      <c r="L6" s="7" t="str">
        <f aca="false">IF(AND(C6&lt;Summary!$B$15,D6&lt;Summary!$B$16,G6&lt;Summary!$B$17,K6&lt;Summary!$B$18),"PASS","FAIL")</f>
        <v>PASS</v>
      </c>
    </row>
    <row r="7" customFormat="false" ht="15" hidden="false" customHeight="false" outlineLevel="0" collapsed="false">
      <c r="A7" s="11" t="n">
        <v>75</v>
      </c>
      <c r="B7" s="12" t="n">
        <v>2.23</v>
      </c>
      <c r="C7" s="12" t="n">
        <v>4.48</v>
      </c>
      <c r="D7" s="13" t="n">
        <v>0.057</v>
      </c>
      <c r="E7" s="11" t="n">
        <v>405</v>
      </c>
      <c r="F7" s="11" t="n">
        <v>0</v>
      </c>
      <c r="G7" s="14" t="n">
        <f aca="false">IF(E7=0,0,F7/E7)</f>
        <v>0</v>
      </c>
      <c r="H7" s="12" t="n">
        <v>13.11</v>
      </c>
      <c r="I7" s="11" t="n">
        <f aca="false">H7*1024/A7</f>
        <v>178.9952</v>
      </c>
      <c r="J7" s="12" t="n">
        <v>19.6</v>
      </c>
      <c r="K7" s="15" t="n">
        <v>0.007</v>
      </c>
      <c r="L7" s="7" t="str">
        <f aca="false">IF(AND(C7&lt;Summary!$B$15,D7&lt;Summary!$B$16,G7&lt;Summary!$B$17,K7&lt;Summary!$B$18),"PASS","FAIL")</f>
        <v>PASS</v>
      </c>
    </row>
    <row r="8" customFormat="false" ht="15" hidden="false" customHeight="false" outlineLevel="0" collapsed="false">
      <c r="A8" s="11" t="n">
        <v>100</v>
      </c>
      <c r="B8" s="12" t="n">
        <v>2.11</v>
      </c>
      <c r="C8" s="12" t="n">
        <v>3.77</v>
      </c>
      <c r="D8" s="13" t="n">
        <v>0.054</v>
      </c>
      <c r="E8" s="11" t="n">
        <v>525</v>
      </c>
      <c r="F8" s="11" t="n">
        <v>0</v>
      </c>
      <c r="G8" s="14" t="n">
        <f aca="false">IF(E8=0,0,F8/E8)</f>
        <v>0</v>
      </c>
      <c r="H8" s="12" t="n">
        <v>17.77</v>
      </c>
      <c r="I8" s="11" t="n">
        <f aca="false">H8*1024/A8</f>
        <v>181.9648</v>
      </c>
      <c r="J8" s="12" t="n">
        <v>14.9</v>
      </c>
      <c r="K8" s="15" t="n">
        <v>0.009</v>
      </c>
      <c r="L8" s="7" t="str">
        <f aca="false">IF(AND(C8&lt;Summary!$B$15,D8&lt;Summary!$B$16,G8&lt;Summary!$B$17,K8&lt;Summary!$B$18),"PASS","FAIL")</f>
        <v>PASS</v>
      </c>
    </row>
    <row r="9" customFormat="false" ht="15" hidden="false" customHeight="false" outlineLevel="0" collapsed="false">
      <c r="A9" s="11" t="n">
        <v>125</v>
      </c>
      <c r="B9" s="12" t="n">
        <v>2.17</v>
      </c>
      <c r="C9" s="12" t="n">
        <v>4.44</v>
      </c>
      <c r="D9" s="13" t="n">
        <v>0.052</v>
      </c>
      <c r="E9" s="11" t="n">
        <v>671</v>
      </c>
      <c r="F9" s="11" t="n">
        <v>0</v>
      </c>
      <c r="G9" s="14" t="n">
        <f aca="false">IF(E9=0,0,F9/E9)</f>
        <v>0</v>
      </c>
      <c r="H9" s="12" t="n">
        <v>22.24</v>
      </c>
      <c r="I9" s="11" t="n">
        <f aca="false">H9*1024/A9</f>
        <v>182.19008</v>
      </c>
      <c r="J9" s="12" t="n">
        <v>10.5</v>
      </c>
      <c r="K9" s="15" t="n">
        <v>0.011</v>
      </c>
      <c r="L9" s="7" t="str">
        <f aca="false">IF(AND(C9&lt;Summary!$B$15,D9&lt;Summary!$B$16,G9&lt;Summary!$B$17,K9&lt;Summary!$B$18),"PASS","FAIL")</f>
        <v>PASS</v>
      </c>
    </row>
    <row r="10" customFormat="false" ht="15" hidden="false" customHeight="false" outlineLevel="0" collapsed="false">
      <c r="A10" s="11" t="n">
        <v>150</v>
      </c>
      <c r="B10" s="12" t="n">
        <v>2.32</v>
      </c>
      <c r="C10" s="12" t="n">
        <v>4.2</v>
      </c>
      <c r="D10" s="13" t="n">
        <v>0.053</v>
      </c>
      <c r="E10" s="11" t="n">
        <v>943</v>
      </c>
      <c r="F10" s="11" t="n">
        <v>0</v>
      </c>
      <c r="G10" s="14" t="n">
        <f aca="false">IF(E10=0,0,F10/E10)</f>
        <v>0</v>
      </c>
      <c r="H10" s="12" t="n">
        <v>26.17</v>
      </c>
      <c r="I10" s="11" t="n">
        <f aca="false">H10*1024/A10</f>
        <v>178.653866666667</v>
      </c>
      <c r="J10" s="12" t="n">
        <v>6</v>
      </c>
      <c r="K10" s="15" t="n">
        <v>0.009</v>
      </c>
      <c r="L10" s="7" t="str">
        <f aca="false">IF(AND(C10&lt;Summary!$B$15,D10&lt;Summary!$B$16,G10&lt;Summary!$B$17,K10&lt;Summary!$B$18),"PASS","FAIL")</f>
        <v>PASS</v>
      </c>
    </row>
    <row r="12" customFormat="false" ht="15" hidden="false" customHeight="false" outlineLevel="0" collapsed="false">
      <c r="A12" s="2" t="s">
        <v>74</v>
      </c>
    </row>
  </sheetData>
  <conditionalFormatting sqref="L4:L10">
    <cfRule type="expression" priority="2" aboveAverage="0" equalAverage="0" bottom="0" percent="0" rank="0" text="" dxfId="0">
      <formula>L4="PASS"</formula>
    </cfRule>
    <cfRule type="expression" priority="3" aboveAverage="0" equalAverage="0" bottom="0" percent="0" rank="0" text="" dxfId="1">
      <formula>L4="FAIL"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2026-10-01T05:05:20Z</dcterms:created>
  <dc:creator>openpyxl</dc:creator>
  <dc:description/>
  <dc:language>en-IN</dc:language>
  <cp:lastModifiedBy/>
  <dcterms:modified xsi:type="dcterms:W3CDTF">2026-10-01T05:05:21Z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