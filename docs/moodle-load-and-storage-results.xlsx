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2"/>
    <sheet name="Load Tests" sheetId="2" state="visible" r:id="rId3"/>
    <sheet name="B Default per-minute" sheetId="3" state="visible" r:id="rId4"/>
    <sheet name="C Tuned per-minute" sheetId="4" state="visible" r:id="rId5"/>
    <sheet name="Storage" sheetId="5" state="visible" r:id="rId6"/>
    <sheet name="Apache Fix" sheetId="6" state="visible" r:id="rId7"/>
    <sheet name="Capacity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<sst xmlns="http://schemas.openxmlformats.org/spreadsheetml/2006/main" count="280" uniqueCount="227">
  <si>
    <t xml:space="preserve">Moodle load test (1000 students, CPU only) &amp; .ipynb storage sizing</t>
  </si>
  <si>
    <t xml:space="preserve">Date 2026-09-29 · Moodle 5.0.1 (Bitnami Docker) · k6 v0.54.0 · server vocab-server3</t>
  </si>
  <si>
    <t xml:space="preserve">Question</t>
  </si>
  <si>
    <t xml:space="preserve">Answer</t>
  </si>
  <si>
    <t xml:space="preserve">Evidence</t>
  </si>
  <si>
    <t xml:space="preserve">Can 1000 students use it at the same time (CPU only)?</t>
  </si>
  <si>
    <t xml:space="preserve">YES — after Apache tuning</t>
  </si>
  <si>
    <t xml:space="preserve">Test C: page p95 144 ms, 0 errors in 113,512 requests, host CPU peak 16.5 %</t>
  </si>
  <si>
    <t xml:space="preserve">Can 1000 students log in within 1 minute and all submit?</t>
  </si>
  <si>
    <t xml:space="preserve">YES</t>
  </si>
  <si>
    <t xml:space="preserve">Test D: login p95 93 ms, submit p95 75 ms, 1000/1000 submissions stored</t>
  </si>
  <si>
    <t xml:space="preserve">What failed with the default config?</t>
  </si>
  <si>
    <t xml:space="preserve">Pages took 5–10 s from ~750 students</t>
  </si>
  <si>
    <t xml:space="preserve">Test B: Apache had only 250 workers, each held 5 s by idle keep-alive connections (CPU idle at ~7 %)</t>
  </si>
  <si>
    <t xml:space="preserve">Resources used at 1000 students</t>
  </si>
  <si>
    <t xml:space="preserve">~4.5 CPU threads, ~1.7 GB RAM</t>
  </si>
  <si>
    <t xml:space="preserve">Moodle 3.6 cores + MariaDB 0.9 cores; see sheet "Capacity"</t>
  </si>
  <si>
    <t xml:space="preserve">Storage per notebook submission</t>
  </si>
  <si>
    <t xml:space="preserve">≈ 55 KB</t>
  </si>
  <si>
    <t xml:space="preserve">49 KB file on disk + ~6 KB DB rows; see sheet "Storage"</t>
  </si>
  <si>
    <t xml:space="preserve">Storage for 1000 students, 1 assignment</t>
  </si>
  <si>
    <t xml:space="preserve">≈ 55 MB</t>
  </si>
  <si>
    <t xml:space="preserve">Measured: filedir +48 MB, DB tables +6 MB</t>
  </si>
  <si>
    <t xml:space="preserve">GPU used?</t>
  </si>
  <si>
    <t xml:space="preserve">No</t>
  </si>
  <si>
    <t xml:space="preserve">Moodle containers run with runc, no GPU devices attached</t>
  </si>
  <si>
    <t xml:space="preserve">Notes (setup reference)</t>
  </si>
  <si>
    <t xml:space="preserve">Item</t>
  </si>
  <si>
    <t xml:space="preserve">Value</t>
  </si>
  <si>
    <t xml:space="preserve">Moodle download</t>
  </si>
  <si>
    <t xml:space="preserve">https://download.moodle.org/</t>
  </si>
  <si>
    <t xml:space="preserve">Installation guide</t>
  </si>
  <si>
    <t xml:space="preserve">https://docs.moodle.org/502/en/Installing_Moodle</t>
  </si>
  <si>
    <t xml:space="preserve">Docker compose reference</t>
  </si>
  <si>
    <t xml:space="preserve">https://github.com/bitnami/containers/blob/main/bitnami/moodle/docker-compose.yml</t>
  </si>
  <si>
    <t xml:space="preserve">Admin credentials</t>
  </si>
  <si>
    <t xml:space="preserve">admin / AdminPassword123!</t>
  </si>
  <si>
    <t xml:space="preserve">Load-test students</t>
  </si>
  <si>
    <t xml:space="preserve">loadtest0001 … loadtest1000 / LoadTest#2026, course id 2</t>
  </si>
  <si>
    <t xml:space="preserve">Server specs</t>
  </si>
  <si>
    <t xml:space="preserve">Component</t>
  </si>
  <si>
    <t xml:space="preserve">Original notes</t>
  </si>
  <si>
    <t xml:space="preserve">Actual test server (vocab-server3)</t>
  </si>
  <si>
    <t xml:space="preserve">OS</t>
  </si>
  <si>
    <t xml:space="preserve">Ubuntu 24.04.3 LTS, 64-bit</t>
  </si>
  <si>
    <t xml:space="preserve">Ubuntu, kernel 6.8.0-138</t>
  </si>
  <si>
    <t xml:space="preserve">CPU</t>
  </si>
  <si>
    <t xml:space="preserve">Intel Core i7-13700</t>
  </si>
  <si>
    <t xml:space="preserve">Intel Core i7-14700 (8 P-cores + 12 E-cores)</t>
  </si>
  <si>
    <t xml:space="preserve">CPU capacity</t>
  </si>
  <si>
    <t xml:space="preserve">16 cores / 24 logical CPUs, 5.2 GHz</t>
  </si>
  <si>
    <t xml:space="preserve">20 cores / 28 logical CPUs, 5.3 GHz</t>
  </si>
  <si>
    <t xml:space="preserve">RAM</t>
  </si>
  <si>
    <t xml:space="preserve">31 GB</t>
  </si>
  <si>
    <t xml:space="preserve">62 GB (~32 GB free; shared with other services)</t>
  </si>
  <si>
    <t xml:space="preserve">Primary disk</t>
  </si>
  <si>
    <t xml:space="preserve">~477 GB NVMe, ~247 GB free</t>
  </si>
  <si>
    <t xml:space="preserve">456 GB NVMe, 133 GB free (Moodle Docker volumes live here)</t>
  </si>
  <si>
    <t xml:space="preserve">Additional disk</t>
  </si>
  <si>
    <t xml:space="preserve">~931 GB</t>
  </si>
  <si>
    <t xml:space="preserve">1.8 TB, 285 GB free (not used by Moodle)</t>
  </si>
  <si>
    <t xml:space="preserve">Swap</t>
  </si>
  <si>
    <t xml:space="preserve">2 GB</t>
  </si>
  <si>
    <t xml:space="preserve">GPU</t>
  </si>
  <si>
    <t xml:space="preserve">—</t>
  </si>
  <si>
    <t xml:space="preserve">RTX 4000 Ada 20 GB — not used by Moodle</t>
  </si>
  <si>
    <t xml:space="preserve">Moodle hardware requirements vs measured</t>
  </si>
  <si>
    <t xml:space="preserve">Minimum</t>
  </si>
  <si>
    <t xml:space="preserve">Recommended / practical</t>
  </si>
  <si>
    <t xml:space="preserve">Measured at 1000 active students</t>
  </si>
  <si>
    <t xml:space="preserve">Disk space</t>
  </si>
  <si>
    <t xml:space="preserve">200 MB for Moodle code</t>
  </si>
  <si>
    <t xml:space="preserve">5 GB or more, depending on course content and uploaded files</t>
  </si>
  <si>
    <t xml:space="preserve">Code 398 MB · DB ~300 MB · ~55 KB per notebook submission</t>
  </si>
  <si>
    <t xml:space="preserve">Processor</t>
  </si>
  <si>
    <t xml:space="preserve">1 GHz</t>
  </si>
  <si>
    <t xml:space="preserve">2 GHz dual-core or higher</t>
  </si>
  <si>
    <t xml:space="preserve">~4.5 CPU threads peak (~16 % of this CPU)</t>
  </si>
  <si>
    <t xml:space="preserve">Memory (RAM)</t>
  </si>
  <si>
    <t xml:space="preserve">512 MB</t>
  </si>
  <si>
    <t xml:space="preserve">1 GB or more; 8 GB+ for larger production environments</t>
  </si>
  <si>
    <t xml:space="preserve">~1.7 GB peak (Apache+PHP 1.27 GB, MariaDB 0.43 GB)</t>
  </si>
  <si>
    <t xml:space="preserve">Web &amp; Database Servers</t>
  </si>
  <si>
    <t xml:space="preserve">Can run on the same server</t>
  </si>
  <si>
    <t xml:space="preserve">For larger deployments, consider separate web front-end and database servers</t>
  </si>
  <si>
    <t xml:space="preserve">Same server was fine at 1000 (DB &lt; 1 core)</t>
  </si>
  <si>
    <t xml:space="preserve">Additional Storage</t>
  </si>
  <si>
    <t xml:space="preserve">Depends on content</t>
  </si>
  <si>
    <t xml:space="preserve">Course files, videos, backups, logs, and user uploads</t>
  </si>
  <si>
    <t xml:space="preserve">See sheet "Storage"</t>
  </si>
  <si>
    <t xml:space="preserve">Test</t>
  </si>
  <si>
    <t xml:space="preserve">Students</t>
  </si>
  <si>
    <t xml:space="preserve">Flow</t>
  </si>
  <si>
    <t xml:space="preserve">HTTP requests</t>
  </si>
  <si>
    <t xml:space="preserve">Error rate</t>
  </si>
  <si>
    <t xml:space="preserve">Page p50 (ms)</t>
  </si>
  <si>
    <t xml:space="preserve">Page p95 (ms)</t>
  </si>
  <si>
    <t xml:space="preserve">Page p99 (ms)</t>
  </si>
  <si>
    <t xml:space="preserve">Login p95 (ms)</t>
  </si>
  <si>
    <t xml:space="preserve">Upload p95 (ms)</t>
  </si>
  <si>
    <t xml:space="preserve">Submit p95 (ms)</t>
  </si>
  <si>
    <t xml:space="preserve">Verdict</t>
  </si>
  <si>
    <t xml:space="preserve">A · default config</t>
  </si>
  <si>
    <t xml:space="preserve">50 → 300</t>
  </si>
  <si>
    <t xml:space="preserve">Browse, 5–15 s think</t>
  </si>
  <si>
    <t xml:space="preserve">PASS</t>
  </si>
  <si>
    <t xml:space="preserve">B · default config</t>
  </si>
  <si>
    <t xml:space="preserve">250 → 1000</t>
  </si>
  <si>
    <t xml:space="preserve">FAIL (slow)</t>
  </si>
  <si>
    <t xml:space="preserve">C · tuned config</t>
  </si>
  <si>
    <t xml:space="preserve">D · tuned: login storm + submission rush</t>
  </si>
  <si>
    <t xml:space="preserve">1000 in 60 s</t>
  </si>
  <si>
    <t xml:space="preserve">Login + upload notebook + submit</t>
  </si>
  <si>
    <t xml:space="preserve">Pass criteria: error rate &lt; 1 % and page p95 &lt; 3,000 ms. Every response checked for HTTP 200, no Moodle error page, no redirect to login.</t>
  </si>
  <si>
    <t xml:space="preserve">Load generator pinned to 4 CPU cores (taskset -c 24-27). Each virtual user = one real student account. Every page also sends the navbar AJAX polls.</t>
  </si>
  <si>
    <t xml:space="preserve">Minute</t>
  </si>
  <si>
    <t xml:space="preserve">Active students</t>
  </si>
  <si>
    <t xml:space="preserve">Pages/s</t>
  </si>
  <si>
    <t xml:space="preserve">Host CPU busy</t>
  </si>
  <si>
    <t xml:space="preserve">Moodle CPU (cores)</t>
  </si>
  <si>
    <t xml:space="preserve">MariaDB CPU (cores)</t>
  </si>
  <si>
    <t xml:space="preserve">Moodle RAM (MiB)</t>
  </si>
  <si>
    <t xml:space="preserve">MariaDB RAM (MiB)</t>
  </si>
  <si>
    <t xml:space="preserve">Storage per .ipynb submission (reference: Python_Basics_Assignment_ANSWER_KEY.ipynb)</t>
  </si>
  <si>
    <t xml:space="preserve">Unit</t>
  </si>
  <si>
    <t xml:space="preserve">Note</t>
  </si>
  <si>
    <t xml:space="preserve">Reference notebook size</t>
  </si>
  <si>
    <t xml:space="preserve">bytes</t>
  </si>
  <si>
    <t xml:space="preserve">65 cells (33 markdown, 32 code), no images; gzip 8,145 bytes</t>
  </si>
  <si>
    <t xml:space="preserve">Avg uploaded copy (unique per student)</t>
  </si>
  <si>
    <t xml:space="preserve">student name + random value added to metadata so Moodle cannot dedupe</t>
  </si>
  <si>
    <t xml:space="preserve">File on disk incl. 4 KB blocks + hash dirs</t>
  </si>
  <si>
    <t xml:space="preserve">filedir grew 0.2 MB → 49.2 MB for 1000 files (du -sk)</t>
  </si>
  <si>
    <t xml:space="preserve">Draft copy</t>
  </si>
  <si>
    <t xml:space="preserve">shares the same content-hash blob (verified 0 unshared drafts)</t>
  </si>
  <si>
    <t xml:space="preserve">DB mdl_files (4 rows × 436 B)</t>
  </si>
  <si>
    <t xml:space="preserve">file + folder rows for draft and submission</t>
  </si>
  <si>
    <t xml:space="preserve">DB submission + grade rows</t>
  </si>
  <si>
    <t xml:space="preserve">mdl_assign_submission, mdl_grade_grades</t>
  </si>
  <si>
    <t xml:space="preserve">DB event log (~14 rows × 241 B)</t>
  </si>
  <si>
    <t xml:space="preserve">login, views, upload, submit</t>
  </si>
  <si>
    <t xml:space="preserve">TOTAL per submission</t>
  </si>
  <si>
    <t xml:space="preserve">formula</t>
  </si>
  <si>
    <t xml:space="preserve">Projection (edit yellow cells)</t>
  </si>
  <si>
    <t xml:space="preserve">Input</t>
  </si>
  <si>
    <t xml:space="preserve">students</t>
  </si>
  <si>
    <t xml:space="preserve">input</t>
  </si>
  <si>
    <t xml:space="preserve">Notebook assignments per term</t>
  </si>
  <si>
    <t xml:space="preserve">assignments</t>
  </si>
  <si>
    <t xml:space="preserve">Avg notebook size</t>
  </si>
  <si>
    <t xml:space="preserve">input — measured copy size; use ~500,000 for notebooks with plots</t>
  </si>
  <si>
    <t xml:space="preserve">DB overhead per submission</t>
  </si>
  <si>
    <t xml:space="preserve">from measured table above</t>
  </si>
  <si>
    <t xml:space="preserve">Disk overhead factor (blocks + dirs)</t>
  </si>
  <si>
    <t xml:space="preserve">x</t>
  </si>
  <si>
    <t xml:space="preserve">measured</t>
  </si>
  <si>
    <t xml:space="preserve">Result</t>
  </si>
  <si>
    <t xml:space="preserve">Formula</t>
  </si>
  <si>
    <t xml:space="preserve">Per submission</t>
  </si>
  <si>
    <t xml:space="preserve">KB</t>
  </si>
  <si>
    <t xml:space="preserve">(size × overhead + DB) / 1024</t>
  </si>
  <si>
    <t xml:space="preserve">1000 students × 1 assignment</t>
  </si>
  <si>
    <t xml:space="preserve">MB</t>
  </si>
  <si>
    <t xml:space="preserve">All students × all assignments (term)</t>
  </si>
  <si>
    <t xml:space="preserve">GB</t>
  </si>
  <si>
    <t xml:space="preserve">+ one course backup kept (≈ 30 % of files, zip)</t>
  </si>
  <si>
    <t xml:space="preserve">assumption: notebooks compress ~3–5× in .mbz</t>
  </si>
  <si>
    <t xml:space="preserve">Scenario comparison (1000 students)</t>
  </si>
  <si>
    <t xml:space="preserve">Scenario</t>
  </si>
  <si>
    <t xml:space="preserve">Notebook size (bytes)</t>
  </si>
  <si>
    <t xml:space="preserve">1 assignment (MB)</t>
  </si>
  <si>
    <t xml:space="preserve">10 assignments (GB)</t>
  </si>
  <si>
    <t xml:space="preserve">20 assignments (GB)</t>
  </si>
  <si>
    <t xml:space="preserve">This notebook (measured)</t>
  </si>
  <si>
    <t xml:space="preserve">Notebook with a few plots (estimate)</t>
  </si>
  <si>
    <t xml:space="preserve">Heavy notebook / data (estimate)</t>
  </si>
  <si>
    <t xml:space="preserve">Other growth: event log ~240 B per page view (≈0.9 GB/semester for 1000 students × 30 views/day × 120 days); sessions &amp; drafts are temporary (cron cleans).</t>
  </si>
  <si>
    <t xml:space="preserve">Docker volumes are on the root NVMe (133 GB free).</t>
  </si>
  <si>
    <t xml:space="preserve">Setting</t>
  </si>
  <si>
    <t xml:space="preserve">File / place</t>
  </si>
  <si>
    <t xml:space="preserve">Default</t>
  </si>
  <si>
    <t xml:space="preserve">Tuned</t>
  </si>
  <si>
    <t xml:space="preserve">Why</t>
  </si>
  <si>
    <t xml:space="preserve">MaxRequestWorkers / ServerLimit</t>
  </si>
  <si>
    <t xml:space="preserve">apache/conf/extra/httpd-mpm.conf (prefork)</t>
  </si>
  <si>
    <t xml:space="preserve">prefork = 1 process per open connection; 1000 students need ~1000 connections</t>
  </si>
  <si>
    <t xml:space="preserve">StartServers / Min / MaxSpareServers</t>
  </si>
  <si>
    <t xml:space="preserve">same</t>
  </si>
  <si>
    <t xml:space="preserve">5 / 5 / 10</t>
  </si>
  <si>
    <t xml:space="preserve">50 / 50 / 150</t>
  </si>
  <si>
    <t xml:space="preserve">avoid slow process spawning during bursts</t>
  </si>
  <si>
    <t xml:space="preserve">MaxConnectionsPerChild</t>
  </si>
  <si>
    <t xml:space="preserve">recycle processes to cap PHP memory leaks</t>
  </si>
  <si>
    <t xml:space="preserve">KeepAliveTimeout</t>
  </si>
  <si>
    <t xml:space="preserve">apache/conf/extra/httpd-default.conf</t>
  </si>
  <si>
    <t xml:space="preserve">5 s</t>
  </si>
  <si>
    <t xml:space="preserve">2 s</t>
  </si>
  <si>
    <t xml:space="preserve">idle connections release their worker sooner</t>
  </si>
  <si>
    <t xml:space="preserve">max_connections</t>
  </si>
  <si>
    <t xml:space="preserve">MariaDB (SET GLOBAL)</t>
  </si>
  <si>
    <t xml:space="preserve">each busy Apache/PHP process can open a DB connection</t>
  </si>
  <si>
    <t xml:space="preserve">innodb_buffer_pool_size</t>
  </si>
  <si>
    <t xml:space="preserve">128 MB</t>
  </si>
  <si>
    <t xml:space="preserve">keep DB in RAM as data grows</t>
  </si>
  <si>
    <t xml:space="preserve">pm.max_children (PHP-FPM)</t>
  </si>
  <si>
    <t xml:space="preserve">php-fpm.d/www.conf</t>
  </si>
  <si>
    <t xml:space="preserve">unchanged</t>
  </si>
  <si>
    <t xml:space="preserve">NOT used — this image runs PHP inside Apache (mod_php)</t>
  </si>
  <si>
    <t xml:space="preserve">Status: applied live. Apache files survive docker restart but not container re-create; MariaDB values reset on DB restart. Persist by mounting loadtest/tuning/* in docker-compose.yaml (see report).</t>
  </si>
  <si>
    <t xml:space="preserve">How many simultaneous students can this CPU handle? (estimate from Test C, edit yellow cells)</t>
  </si>
  <si>
    <t xml:space="preserve">CPU threads used at 1000 students</t>
  </si>
  <si>
    <t xml:space="preserve">measured Test C peak: Moodle 3.63 + MariaDB 0.89</t>
  </si>
  <si>
    <t xml:space="preserve">Logical threads available</t>
  </si>
  <si>
    <t xml:space="preserve">user spec (i7-13700); actual test server has 28</t>
  </si>
  <si>
    <t xml:space="preserve">Hyper-threading efficiency</t>
  </si>
  <si>
    <t xml:space="preserve">assumption: 2 threads on one core ≈ 1.3–1.4 cores of work, and E-cores are slower</t>
  </si>
  <si>
    <t xml:space="preserve">Headroom kept free</t>
  </si>
  <si>
    <t xml:space="preserve">for spikes, cron, backups, other services on the box</t>
  </si>
  <si>
    <t xml:space="preserve">RAM per 1000 students (GB)</t>
  </si>
  <si>
    <t xml:space="preserve">measured Test C peak</t>
  </si>
  <si>
    <t xml:space="preserve">Linear (ignores hyper-threading)</t>
  </si>
  <si>
    <t xml:space="preserve">threads × (1 − headroom) ÷ threads per 1000</t>
  </si>
  <si>
    <t xml:space="preserve">Conservative (with HT efficiency)</t>
  </si>
  <si>
    <t xml:space="preserve">threads × HT eff × (1 − headroom) ÷ threads per 1000</t>
  </si>
  <si>
    <t xml:space="preserve">RAM needed at conservative figure (GB)</t>
  </si>
  <si>
    <t xml:space="preserve">Beyond ~1000 students the Apache prefork design (1 process per connection) becomes the limit before the CPU: switch to event MPM + PHP-FPM.</t>
  </si>
  <si>
    <t xml:space="preserve">Not a measured maximum — a breaking-point test above 1000 needs more test accounts.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</si>
</sst>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0%"/>
    <numFmt numFmtId="167" formatCode="0.0"/>
    <numFmt numFmtId="168" formatCode="0.0%"/>
    <numFmt numFmtId="169" formatCode="0.00"/>
    <numFmt numFmtId="170" formatCode="#,##0.00"/>
    <numFmt numFmtId="171" formatCode="#,##0.0"/>
    <numFmt numFmtId="172" formatCode="0%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 Default per-minute: page p95 latency vs students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'B Default per-minute'!E1</c:f>
              <c:strCache>
                <c:ptCount val="1"/>
                <c:pt idx="0">
                  <c:v>Page p95 (ms)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 Default per-minute'!$A$2:$A$16</c:f>
              <c:strCach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strCache>
            </c:strRef>
          </c:cat>
          <c:val>
            <c:numRef>
              <c:f>'B Default per-minute'!$E$2:$E$16</c:f>
              <c:numCache>
                <c:formatCode>General</c:formatCode>
                <c:ptCount val="15"/>
                <c:pt idx="0">
                  <c:v>273</c:v>
                </c:pt>
                <c:pt idx="1">
                  <c:v>142</c:v>
                </c:pt>
                <c:pt idx="2">
                  <c:v>158</c:v>
                </c:pt>
                <c:pt idx="3">
                  <c:v>177</c:v>
                </c:pt>
                <c:pt idx="4">
                  <c:v>416</c:v>
                </c:pt>
                <c:pt idx="5">
                  <c:v>235</c:v>
                </c:pt>
                <c:pt idx="6">
                  <c:v>3961</c:v>
                </c:pt>
                <c:pt idx="7">
                  <c:v>5034</c:v>
                </c:pt>
                <c:pt idx="8">
                  <c:v>5021</c:v>
                </c:pt>
                <c:pt idx="9">
                  <c:v>8756</c:v>
                </c:pt>
                <c:pt idx="10">
                  <c:v>9983</c:v>
                </c:pt>
                <c:pt idx="11">
                  <c:v>9893</c:v>
                </c:pt>
                <c:pt idx="12">
                  <c:v>10014</c:v>
                </c:pt>
                <c:pt idx="13">
                  <c:v>9995</c:v>
                </c:pt>
                <c:pt idx="14">
                  <c:v>9943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5686411"/>
        <c:axId val="58306586"/>
      </c:lineChart>
      <c:catAx>
        <c:axId val="456864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Minute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306586"/>
        <c:crosses val="autoZero"/>
        <c:auto val="1"/>
        <c:lblAlgn val="ctr"/>
        <c:lblOffset val="100"/>
        <c:noMultiLvlLbl val="0"/>
      </c:catAx>
      <c:valAx>
        <c:axId val="583065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p95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6864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Active students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'B Default per-minute'!B1</c:f>
              <c:strCache>
                <c:ptCount val="1"/>
                <c:pt idx="0">
                  <c:v>Active students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 Default per-minute'!$A$2:$A$16</c:f>
              <c:strCach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strCache>
            </c:strRef>
          </c:cat>
          <c:val>
            <c:numRef>
              <c:f>'B Default per-minute'!$B$2:$B$16</c:f>
              <c:numCache>
                <c:formatCode>General</c:formatCode>
                <c:ptCount val="15"/>
                <c:pt idx="0">
                  <c:v>245</c:v>
                </c:pt>
                <c:pt idx="1">
                  <c:v>250</c:v>
                </c:pt>
                <c:pt idx="2">
                  <c:v>250</c:v>
                </c:pt>
                <c:pt idx="3">
                  <c:v>495</c:v>
                </c:pt>
                <c:pt idx="4">
                  <c:v>500</c:v>
                </c:pt>
                <c:pt idx="5">
                  <c:v>500</c:v>
                </c:pt>
                <c:pt idx="6">
                  <c:v>745</c:v>
                </c:pt>
                <c:pt idx="7">
                  <c:v>750</c:v>
                </c:pt>
                <c:pt idx="8">
                  <c:v>750</c:v>
                </c:pt>
                <c:pt idx="9">
                  <c:v>995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1554854"/>
        <c:axId val="76944397"/>
      </c:lineChart>
      <c:catAx>
        <c:axId val="715548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944397"/>
        <c:crosses val="autoZero"/>
        <c:auto val="1"/>
        <c:lblAlgn val="ctr"/>
        <c:lblOffset val="100"/>
        <c:noMultiLvlLbl val="0"/>
      </c:catAx>
      <c:valAx>
        <c:axId val="769443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5548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 Tuned per-minute: page p95 latency vs students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 Tuned per-minute'!E1</c:f>
              <c:strCache>
                <c:ptCount val="1"/>
                <c:pt idx="0">
                  <c:v>Page p95 (ms)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 Tuned per-minute'!$A$2:$A$16</c:f>
              <c:strCach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strCache>
            </c:strRef>
          </c:cat>
          <c:val>
            <c:numRef>
              <c:f>'C Tuned per-minute'!$E$2:$E$16</c:f>
              <c:numCache>
                <c:formatCode>General</c:formatCode>
                <c:ptCount val="15"/>
                <c:pt idx="0">
                  <c:v>57</c:v>
                </c:pt>
                <c:pt idx="1">
                  <c:v>58</c:v>
                </c:pt>
                <c:pt idx="2">
                  <c:v>90</c:v>
                </c:pt>
                <c:pt idx="3">
                  <c:v>114</c:v>
                </c:pt>
                <c:pt idx="4">
                  <c:v>124</c:v>
                </c:pt>
                <c:pt idx="5">
                  <c:v>172</c:v>
                </c:pt>
                <c:pt idx="6">
                  <c:v>188</c:v>
                </c:pt>
                <c:pt idx="7">
                  <c:v>151</c:v>
                </c:pt>
                <c:pt idx="8">
                  <c:v>150</c:v>
                </c:pt>
                <c:pt idx="9">
                  <c:v>158</c:v>
                </c:pt>
                <c:pt idx="10">
                  <c:v>175</c:v>
                </c:pt>
                <c:pt idx="11">
                  <c:v>99</c:v>
                </c:pt>
                <c:pt idx="12">
                  <c:v>126</c:v>
                </c:pt>
                <c:pt idx="13">
                  <c:v>127</c:v>
                </c:pt>
                <c:pt idx="14">
                  <c:v>40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0539269"/>
        <c:axId val="58256305"/>
      </c:lineChart>
      <c:catAx>
        <c:axId val="705392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Minute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256305"/>
        <c:crosses val="autoZero"/>
        <c:auto val="1"/>
        <c:lblAlgn val="ctr"/>
        <c:lblOffset val="100"/>
        <c:noMultiLvlLbl val="0"/>
      </c:catAx>
      <c:valAx>
        <c:axId val="582563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p95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5392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Active students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 Tuned per-minute'!B1</c:f>
              <c:strCache>
                <c:ptCount val="1"/>
                <c:pt idx="0">
                  <c:v>Active students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 Tuned per-minute'!$A$2:$A$16</c:f>
              <c:strCach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strCache>
            </c:strRef>
          </c:cat>
          <c:val>
            <c:numRef>
              <c:f>'C Tuned per-minute'!$B$2:$B$16</c:f>
              <c:numCache>
                <c:formatCode>General</c:formatCode>
                <c:ptCount val="15"/>
                <c:pt idx="0">
                  <c:v>245</c:v>
                </c:pt>
                <c:pt idx="1">
                  <c:v>250</c:v>
                </c:pt>
                <c:pt idx="2">
                  <c:v>250</c:v>
                </c:pt>
                <c:pt idx="3">
                  <c:v>495</c:v>
                </c:pt>
                <c:pt idx="4">
                  <c:v>500</c:v>
                </c:pt>
                <c:pt idx="5">
                  <c:v>500</c:v>
                </c:pt>
                <c:pt idx="6">
                  <c:v>745</c:v>
                </c:pt>
                <c:pt idx="7">
                  <c:v>750</c:v>
                </c:pt>
                <c:pt idx="8">
                  <c:v>750</c:v>
                </c:pt>
                <c:pt idx="9">
                  <c:v>995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3878767"/>
        <c:axId val="98337690"/>
      </c:lineChart>
      <c:catAx>
        <c:axId val="53878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337690"/>
        <c:crosses val="autoZero"/>
        <c:auto val="1"/>
        <c:lblAlgn val="ctr"/>
        <c:lblOffset val="100"/>
        <c:noMultiLvlLbl val="0"/>
      </c:catAx>
      <c:valAx>
        <c:axId val="983376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8787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</xdr:row>
      <xdr:rowOff>0</xdr:rowOff>
    </xdr:from>
    <xdr:to>
      <xdr:col>19</xdr:col>
      <xdr:colOff>408960</xdr:colOff>
      <xdr:row>16</xdr:row>
      <xdr:rowOff>21960</xdr:rowOff>
    </xdr:to>
    <xdr:graphicFrame>
      <xdr:nvGraphicFramePr>
        <xdr:cNvPr id="0" name="Chart 1"/>
        <xdr:cNvGraphicFramePr/>
      </xdr:nvGraphicFramePr>
      <xdr:xfrm>
        <a:off x="11337840" y="190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18</xdr:row>
      <xdr:rowOff>0</xdr:rowOff>
    </xdr:from>
    <xdr:to>
      <xdr:col>19</xdr:col>
      <xdr:colOff>408960</xdr:colOff>
      <xdr:row>33</xdr:row>
      <xdr:rowOff>21960</xdr:rowOff>
    </xdr:to>
    <xdr:graphicFrame>
      <xdr:nvGraphicFramePr>
        <xdr:cNvPr id="1" name="Chart 2"/>
        <xdr:cNvGraphicFramePr/>
      </xdr:nvGraphicFramePr>
      <xdr:xfrm>
        <a:off x="11337840" y="342900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</xdr:row>
      <xdr:rowOff>0</xdr:rowOff>
    </xdr:from>
    <xdr:to>
      <xdr:col>19</xdr:col>
      <xdr:colOff>408960</xdr:colOff>
      <xdr:row>16</xdr:row>
      <xdr:rowOff>21960</xdr:rowOff>
    </xdr:to>
    <xdr:graphicFrame>
      <xdr:nvGraphicFramePr>
        <xdr:cNvPr id="2" name="Chart 1"/>
        <xdr:cNvGraphicFramePr/>
      </xdr:nvGraphicFramePr>
      <xdr:xfrm>
        <a:off x="11337840" y="190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18</xdr:row>
      <xdr:rowOff>0</xdr:rowOff>
    </xdr:from>
    <xdr:to>
      <xdr:col>19</xdr:col>
      <xdr:colOff>408960</xdr:colOff>
      <xdr:row>33</xdr:row>
      <xdr:rowOff>21960</xdr:rowOff>
    </xdr:to>
    <xdr:graphicFrame>
      <xdr:nvGraphicFramePr>
        <xdr:cNvPr id="3" name="Chart 2"/>
        <xdr:cNvGraphicFramePr/>
      </xdr:nvGraphicFramePr>
      <xdr:xfrm>
        <a:off x="11337840" y="342900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40"/>
    <col collapsed="false" customWidth="true" hidden="false" outlineLevel="0" max="3" min="3" style="0" width="90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4" t="s">
        <v>6</v>
      </c>
      <c r="C5" s="4" t="s">
        <v>7</v>
      </c>
    </row>
    <row r="6" customFormat="false" ht="15" hidden="false" customHeight="false" outlineLevel="0" collapsed="false">
      <c r="A6" s="4" t="s">
        <v>8</v>
      </c>
      <c r="B6" s="4" t="s">
        <v>9</v>
      </c>
      <c r="C6" s="4" t="s">
        <v>10</v>
      </c>
    </row>
    <row r="7" customFormat="false" ht="15" hidden="false" customHeight="false" outlineLevel="0" collapsed="false">
      <c r="A7" s="4" t="s">
        <v>11</v>
      </c>
      <c r="B7" s="4" t="s">
        <v>12</v>
      </c>
      <c r="C7" s="4" t="s">
        <v>13</v>
      </c>
    </row>
    <row r="8" customFormat="false" ht="15" hidden="false" customHeight="false" outlineLevel="0" collapsed="false">
      <c r="A8" s="4" t="s">
        <v>14</v>
      </c>
      <c r="B8" s="4" t="s">
        <v>15</v>
      </c>
      <c r="C8" s="4" t="s">
        <v>16</v>
      </c>
    </row>
    <row r="9" customFormat="false" ht="15" hidden="false" customHeight="false" outlineLevel="0" collapsed="false">
      <c r="A9" s="4" t="s">
        <v>17</v>
      </c>
      <c r="B9" s="4" t="s">
        <v>18</v>
      </c>
      <c r="C9" s="4" t="s">
        <v>19</v>
      </c>
    </row>
    <row r="10" customFormat="false" ht="15" hidden="false" customHeight="false" outlineLevel="0" collapsed="false">
      <c r="A10" s="4" t="s">
        <v>20</v>
      </c>
      <c r="B10" s="4" t="s">
        <v>21</v>
      </c>
      <c r="C10" s="4" t="s">
        <v>22</v>
      </c>
    </row>
    <row r="11" customFormat="false" ht="15" hidden="false" customHeight="false" outlineLevel="0" collapsed="false">
      <c r="A11" s="4" t="s">
        <v>23</v>
      </c>
      <c r="B11" s="4" t="s">
        <v>24</v>
      </c>
      <c r="C11" s="4" t="s">
        <v>25</v>
      </c>
    </row>
    <row r="13" customFormat="false" ht="15" hidden="false" customHeight="false" outlineLevel="0" collapsed="false">
      <c r="A13" s="5" t="s">
        <v>26</v>
      </c>
    </row>
    <row r="14" customFormat="false" ht="15" hidden="false" customHeight="false" outlineLevel="0" collapsed="false">
      <c r="A14" s="3" t="s">
        <v>27</v>
      </c>
      <c r="B14" s="3" t="s">
        <v>28</v>
      </c>
      <c r="C14" s="3"/>
    </row>
    <row r="15" customFormat="false" ht="15" hidden="false" customHeight="false" outlineLevel="0" collapsed="false">
      <c r="A15" s="4" t="s">
        <v>29</v>
      </c>
      <c r="B15" s="4" t="s">
        <v>30</v>
      </c>
      <c r="C15" s="4"/>
    </row>
    <row r="16" customFormat="false" ht="15" hidden="false" customHeight="false" outlineLevel="0" collapsed="false">
      <c r="A16" s="4" t="s">
        <v>31</v>
      </c>
      <c r="B16" s="4" t="s">
        <v>32</v>
      </c>
      <c r="C16" s="4"/>
    </row>
    <row r="17" customFormat="false" ht="15" hidden="false" customHeight="false" outlineLevel="0" collapsed="false">
      <c r="A17" s="4" t="s">
        <v>33</v>
      </c>
      <c r="B17" s="4" t="s">
        <v>34</v>
      </c>
      <c r="C17" s="4"/>
    </row>
    <row r="18" customFormat="false" ht="15" hidden="false" customHeight="false" outlineLevel="0" collapsed="false">
      <c r="A18" s="4" t="s">
        <v>35</v>
      </c>
      <c r="B18" s="4" t="s">
        <v>36</v>
      </c>
      <c r="C18" s="4"/>
    </row>
    <row r="19" customFormat="false" ht="15" hidden="false" customHeight="false" outlineLevel="0" collapsed="false">
      <c r="A19" s="4" t="s">
        <v>37</v>
      </c>
      <c r="B19" s="4" t="s">
        <v>38</v>
      </c>
      <c r="C19" s="4"/>
    </row>
    <row r="21" customFormat="false" ht="15" hidden="false" customHeight="false" outlineLevel="0" collapsed="false">
      <c r="A21" s="5" t="s">
        <v>39</v>
      </c>
    </row>
    <row r="22" customFormat="false" ht="15" hidden="false" customHeight="false" outlineLevel="0" collapsed="false">
      <c r="A22" s="3" t="s">
        <v>40</v>
      </c>
      <c r="B22" s="3" t="s">
        <v>41</v>
      </c>
      <c r="C22" s="3" t="s">
        <v>42</v>
      </c>
    </row>
    <row r="23" customFormat="false" ht="15" hidden="false" customHeight="false" outlineLevel="0" collapsed="false">
      <c r="A23" s="4" t="s">
        <v>43</v>
      </c>
      <c r="B23" s="4" t="s">
        <v>44</v>
      </c>
      <c r="C23" s="4" t="s">
        <v>45</v>
      </c>
    </row>
    <row r="24" customFormat="false" ht="15" hidden="false" customHeight="false" outlineLevel="0" collapsed="false">
      <c r="A24" s="4" t="s">
        <v>46</v>
      </c>
      <c r="B24" s="4" t="s">
        <v>47</v>
      </c>
      <c r="C24" s="4" t="s">
        <v>48</v>
      </c>
    </row>
    <row r="25" customFormat="false" ht="15" hidden="false" customHeight="false" outlineLevel="0" collapsed="false">
      <c r="A25" s="4" t="s">
        <v>49</v>
      </c>
      <c r="B25" s="4" t="s">
        <v>50</v>
      </c>
      <c r="C25" s="4" t="s">
        <v>51</v>
      </c>
    </row>
    <row r="26" customFormat="false" ht="15" hidden="false" customHeight="false" outlineLevel="0" collapsed="false">
      <c r="A26" s="4" t="s">
        <v>52</v>
      </c>
      <c r="B26" s="4" t="s">
        <v>53</v>
      </c>
      <c r="C26" s="4" t="s">
        <v>54</v>
      </c>
    </row>
    <row r="27" customFormat="false" ht="15" hidden="false" customHeight="false" outlineLevel="0" collapsed="false">
      <c r="A27" s="4" t="s">
        <v>55</v>
      </c>
      <c r="B27" s="4" t="s">
        <v>56</v>
      </c>
      <c r="C27" s="4" t="s">
        <v>57</v>
      </c>
    </row>
    <row r="28" customFormat="false" ht="15" hidden="false" customHeight="false" outlineLevel="0" collapsed="false">
      <c r="A28" s="4" t="s">
        <v>58</v>
      </c>
      <c r="B28" s="4" t="s">
        <v>59</v>
      </c>
      <c r="C28" s="4" t="s">
        <v>60</v>
      </c>
    </row>
    <row r="29" customFormat="false" ht="15" hidden="false" customHeight="false" outlineLevel="0" collapsed="false">
      <c r="A29" s="4" t="s">
        <v>61</v>
      </c>
      <c r="B29" s="4" t="s">
        <v>62</v>
      </c>
      <c r="C29" s="4" t="s">
        <v>62</v>
      </c>
    </row>
    <row r="30" customFormat="false" ht="15" hidden="false" customHeight="false" outlineLevel="0" collapsed="false">
      <c r="A30" s="4" t="s">
        <v>63</v>
      </c>
      <c r="B30" s="4" t="s">
        <v>64</v>
      </c>
      <c r="C30" s="4" t="s">
        <v>65</v>
      </c>
    </row>
    <row r="32" customFormat="false" ht="15" hidden="false" customHeight="false" outlineLevel="0" collapsed="false">
      <c r="A32" s="5" t="s">
        <v>66</v>
      </c>
    </row>
    <row r="33" customFormat="false" ht="15" hidden="false" customHeight="false" outlineLevel="0" collapsed="false">
      <c r="A33" s="3" t="s">
        <v>40</v>
      </c>
      <c r="B33" s="3" t="s">
        <v>67</v>
      </c>
      <c r="C33" s="3" t="s">
        <v>68</v>
      </c>
      <c r="D33" s="3" t="s">
        <v>69</v>
      </c>
    </row>
    <row r="34" customFormat="false" ht="15" hidden="false" customHeight="false" outlineLevel="0" collapsed="false">
      <c r="A34" s="4" t="s">
        <v>70</v>
      </c>
      <c r="B34" s="4" t="s">
        <v>71</v>
      </c>
      <c r="C34" s="4" t="s">
        <v>72</v>
      </c>
      <c r="D34" s="4" t="s">
        <v>73</v>
      </c>
    </row>
    <row r="35" customFormat="false" ht="15" hidden="false" customHeight="false" outlineLevel="0" collapsed="false">
      <c r="A35" s="4" t="s">
        <v>74</v>
      </c>
      <c r="B35" s="4" t="s">
        <v>75</v>
      </c>
      <c r="C35" s="4" t="s">
        <v>76</v>
      </c>
      <c r="D35" s="4" t="s">
        <v>77</v>
      </c>
    </row>
    <row r="36" customFormat="false" ht="15" hidden="false" customHeight="false" outlineLevel="0" collapsed="false">
      <c r="A36" s="4" t="s">
        <v>78</v>
      </c>
      <c r="B36" s="4" t="s">
        <v>79</v>
      </c>
      <c r="C36" s="4" t="s">
        <v>80</v>
      </c>
      <c r="D36" s="4" t="s">
        <v>81</v>
      </c>
    </row>
    <row r="37" customFormat="false" ht="15" hidden="false" customHeight="false" outlineLevel="0" collapsed="false">
      <c r="A37" s="4" t="s">
        <v>82</v>
      </c>
      <c r="B37" s="4" t="s">
        <v>83</v>
      </c>
      <c r="C37" s="4" t="s">
        <v>84</v>
      </c>
      <c r="D37" s="4" t="s">
        <v>85</v>
      </c>
    </row>
    <row r="38" customFormat="false" ht="15" hidden="false" customHeight="false" outlineLevel="0" collapsed="false">
      <c r="A38" s="4" t="s">
        <v>86</v>
      </c>
      <c r="B38" s="4" t="s">
        <v>87</v>
      </c>
      <c r="C38" s="4" t="s">
        <v>88</v>
      </c>
      <c r="D38" s="4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12" min="6" style="0" width="12"/>
  </cols>
  <sheetData>
    <row r="1" customFormat="false" ht="15" hidden="false" customHeight="false" outlineLevel="0" collapsed="false">
      <c r="A1" s="3" t="s">
        <v>90</v>
      </c>
      <c r="B1" s="3" t="s">
        <v>91</v>
      </c>
      <c r="C1" s="3" t="s">
        <v>92</v>
      </c>
      <c r="D1" s="3" t="s">
        <v>93</v>
      </c>
      <c r="E1" s="3" t="s">
        <v>94</v>
      </c>
      <c r="F1" s="3" t="s">
        <v>95</v>
      </c>
      <c r="G1" s="3" t="s">
        <v>96</v>
      </c>
      <c r="H1" s="3" t="s">
        <v>97</v>
      </c>
      <c r="I1" s="3" t="s">
        <v>98</v>
      </c>
      <c r="J1" s="3" t="s">
        <v>99</v>
      </c>
      <c r="K1" s="3" t="s">
        <v>100</v>
      </c>
      <c r="L1" s="3" t="s">
        <v>101</v>
      </c>
    </row>
    <row r="2" customFormat="false" ht="15" hidden="false" customHeight="false" outlineLevel="0" collapsed="false">
      <c r="A2" s="4" t="s">
        <v>102</v>
      </c>
      <c r="B2" s="4" t="s">
        <v>103</v>
      </c>
      <c r="C2" s="4" t="s">
        <v>104</v>
      </c>
      <c r="D2" s="6" t="n">
        <v>9556</v>
      </c>
      <c r="E2" s="7" t="n">
        <v>0</v>
      </c>
      <c r="F2" s="6" t="n">
        <v>28</v>
      </c>
      <c r="G2" s="6" t="n">
        <v>164</v>
      </c>
      <c r="H2" s="6" t="n">
        <v>454</v>
      </c>
      <c r="I2" s="6" t="n">
        <v>387</v>
      </c>
      <c r="J2" s="6" t="s">
        <v>64</v>
      </c>
      <c r="K2" s="6" t="s">
        <v>64</v>
      </c>
      <c r="L2" s="4" t="s">
        <v>105</v>
      </c>
    </row>
    <row r="3" customFormat="false" ht="15" hidden="false" customHeight="false" outlineLevel="0" collapsed="false">
      <c r="A3" s="4" t="s">
        <v>106</v>
      </c>
      <c r="B3" s="4" t="s">
        <v>107</v>
      </c>
      <c r="C3" s="4" t="s">
        <v>104</v>
      </c>
      <c r="D3" s="6" t="n">
        <v>79112</v>
      </c>
      <c r="E3" s="7" t="n">
        <v>0</v>
      </c>
      <c r="F3" s="6" t="n">
        <v>4697</v>
      </c>
      <c r="G3" s="6" t="n">
        <v>9881</v>
      </c>
      <c r="H3" s="6" t="n">
        <v>10024</v>
      </c>
      <c r="I3" s="6" t="n">
        <v>8966</v>
      </c>
      <c r="J3" s="6" t="s">
        <v>64</v>
      </c>
      <c r="K3" s="6" t="s">
        <v>64</v>
      </c>
      <c r="L3" s="4" t="s">
        <v>108</v>
      </c>
    </row>
    <row r="4" customFormat="false" ht="15" hidden="false" customHeight="false" outlineLevel="0" collapsed="false">
      <c r="A4" s="4" t="s">
        <v>109</v>
      </c>
      <c r="B4" s="4" t="s">
        <v>107</v>
      </c>
      <c r="C4" s="4" t="s">
        <v>104</v>
      </c>
      <c r="D4" s="6" t="n">
        <v>113512</v>
      </c>
      <c r="E4" s="7" t="n">
        <v>0</v>
      </c>
      <c r="F4" s="6" t="n">
        <v>31</v>
      </c>
      <c r="G4" s="6" t="n">
        <v>144</v>
      </c>
      <c r="H4" s="6" t="n">
        <v>244</v>
      </c>
      <c r="I4" s="6" t="n">
        <v>198</v>
      </c>
      <c r="J4" s="6" t="s">
        <v>64</v>
      </c>
      <c r="K4" s="6" t="s">
        <v>64</v>
      </c>
      <c r="L4" s="4" t="s">
        <v>105</v>
      </c>
    </row>
    <row r="5" customFormat="false" ht="15" hidden="false" customHeight="false" outlineLevel="0" collapsed="false">
      <c r="A5" s="4" t="s">
        <v>110</v>
      </c>
      <c r="B5" s="4" t="s">
        <v>111</v>
      </c>
      <c r="C5" s="4" t="s">
        <v>112</v>
      </c>
      <c r="D5" s="6" t="n">
        <v>11000</v>
      </c>
      <c r="E5" s="7" t="n">
        <v>0</v>
      </c>
      <c r="F5" s="6" t="n">
        <v>30</v>
      </c>
      <c r="G5" s="6" t="n">
        <v>52</v>
      </c>
      <c r="H5" s="6" t="n">
        <v>100</v>
      </c>
      <c r="I5" s="6" t="n">
        <v>93</v>
      </c>
      <c r="J5" s="6" t="n">
        <v>14</v>
      </c>
      <c r="K5" s="6" t="n">
        <v>75</v>
      </c>
      <c r="L5" s="4" t="s">
        <v>105</v>
      </c>
    </row>
    <row r="7" customFormat="false" ht="15" hidden="false" customHeight="false" outlineLevel="0" collapsed="false">
      <c r="A7" s="2" t="s">
        <v>113</v>
      </c>
    </row>
    <row r="8" customFormat="false" ht="15" hidden="false" customHeight="false" outlineLevel="0" collapsed="false">
      <c r="A8" s="2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6" min="4" style="0" width="12"/>
    <col collapsed="false" customWidth="true" hidden="false" outlineLevel="0" max="10" min="7" style="0" width="13"/>
  </cols>
  <sheetData>
    <row r="1" customFormat="false" ht="15" hidden="false" customHeight="false" outlineLevel="0" collapsed="false">
      <c r="A1" s="3" t="s">
        <v>115</v>
      </c>
      <c r="B1" s="3" t="s">
        <v>116</v>
      </c>
      <c r="C1" s="3" t="s">
        <v>117</v>
      </c>
      <c r="D1" s="3" t="s">
        <v>95</v>
      </c>
      <c r="E1" s="3" t="s">
        <v>96</v>
      </c>
      <c r="F1" s="3" t="s">
        <v>118</v>
      </c>
      <c r="G1" s="3" t="s">
        <v>119</v>
      </c>
      <c r="H1" s="3" t="s">
        <v>120</v>
      </c>
      <c r="I1" s="3" t="s">
        <v>121</v>
      </c>
      <c r="J1" s="3" t="s">
        <v>122</v>
      </c>
    </row>
    <row r="2" customFormat="false" ht="15" hidden="false" customHeight="false" outlineLevel="0" collapsed="false">
      <c r="A2" s="4" t="n">
        <v>0</v>
      </c>
      <c r="B2" s="6" t="n">
        <v>245</v>
      </c>
      <c r="C2" s="8" t="n">
        <v>26.8</v>
      </c>
      <c r="D2" s="6" t="n">
        <v>27</v>
      </c>
      <c r="E2" s="6" t="n">
        <v>273</v>
      </c>
      <c r="F2" s="9" t="n">
        <v>0.036</v>
      </c>
      <c r="G2" s="10" t="n">
        <v>0.79</v>
      </c>
      <c r="H2" s="10" t="n">
        <v>0.14</v>
      </c>
      <c r="I2" s="6" t="n">
        <v>900</v>
      </c>
      <c r="J2" s="6" t="n">
        <v>246</v>
      </c>
    </row>
    <row r="3" customFormat="false" ht="15" hidden="false" customHeight="false" outlineLevel="0" collapsed="false">
      <c r="A3" s="4" t="n">
        <v>1</v>
      </c>
      <c r="B3" s="6" t="n">
        <v>250</v>
      </c>
      <c r="C3" s="8" t="n">
        <v>24.4</v>
      </c>
      <c r="D3" s="6" t="n">
        <v>28</v>
      </c>
      <c r="E3" s="6" t="n">
        <v>142</v>
      </c>
      <c r="F3" s="9" t="n">
        <v>0.043</v>
      </c>
      <c r="G3" s="10" t="n">
        <v>0.77</v>
      </c>
      <c r="H3" s="10" t="n">
        <v>0.17</v>
      </c>
      <c r="I3" s="6" t="n">
        <v>1027</v>
      </c>
      <c r="J3" s="6" t="n">
        <v>249</v>
      </c>
    </row>
    <row r="4" customFormat="false" ht="15" hidden="false" customHeight="false" outlineLevel="0" collapsed="false">
      <c r="A4" s="4" t="n">
        <v>2</v>
      </c>
      <c r="B4" s="6" t="n">
        <v>250</v>
      </c>
      <c r="C4" s="8" t="n">
        <v>25.1</v>
      </c>
      <c r="D4" s="6" t="n">
        <v>28</v>
      </c>
      <c r="E4" s="6" t="n">
        <v>158</v>
      </c>
      <c r="F4" s="9" t="n">
        <v>0.039</v>
      </c>
      <c r="G4" s="10" t="n">
        <v>1.29</v>
      </c>
      <c r="H4" s="10" t="n">
        <v>0.26</v>
      </c>
      <c r="I4" s="6" t="n">
        <v>1039</v>
      </c>
      <c r="J4" s="6" t="n">
        <v>251</v>
      </c>
    </row>
    <row r="5" customFormat="false" ht="15" hidden="false" customHeight="false" outlineLevel="0" collapsed="false">
      <c r="A5" s="4" t="n">
        <v>3</v>
      </c>
      <c r="B5" s="6" t="n">
        <v>495</v>
      </c>
      <c r="C5" s="8" t="n">
        <v>51.3</v>
      </c>
      <c r="D5" s="6" t="n">
        <v>28</v>
      </c>
      <c r="E5" s="6" t="n">
        <v>177</v>
      </c>
      <c r="F5" s="9" t="n">
        <v>0.067</v>
      </c>
      <c r="G5" s="10" t="n">
        <v>1.38</v>
      </c>
      <c r="H5" s="10" t="n">
        <v>0.31</v>
      </c>
      <c r="I5" s="6" t="n">
        <v>1511</v>
      </c>
      <c r="J5" s="6" t="n">
        <v>259</v>
      </c>
    </row>
    <row r="6" customFormat="false" ht="15" hidden="false" customHeight="false" outlineLevel="0" collapsed="false">
      <c r="A6" s="4" t="n">
        <v>4</v>
      </c>
      <c r="B6" s="6" t="n">
        <v>500</v>
      </c>
      <c r="C6" s="8" t="n">
        <v>50</v>
      </c>
      <c r="D6" s="6" t="n">
        <v>43</v>
      </c>
      <c r="E6" s="6" t="n">
        <v>416</v>
      </c>
      <c r="F6" s="9" t="n">
        <v>0.071</v>
      </c>
      <c r="G6" s="10" t="n">
        <v>1.66</v>
      </c>
      <c r="H6" s="10" t="n">
        <v>0.39</v>
      </c>
      <c r="I6" s="6" t="n">
        <v>1640</v>
      </c>
      <c r="J6" s="6" t="n">
        <v>264</v>
      </c>
    </row>
    <row r="7" customFormat="false" ht="15" hidden="false" customHeight="false" outlineLevel="0" collapsed="false">
      <c r="A7" s="4" t="n">
        <v>5</v>
      </c>
      <c r="B7" s="6" t="n">
        <v>500</v>
      </c>
      <c r="C7" s="8" t="n">
        <v>49.6</v>
      </c>
      <c r="D7" s="6" t="n">
        <v>32</v>
      </c>
      <c r="E7" s="6" t="n">
        <v>235</v>
      </c>
      <c r="F7" s="9" t="n">
        <v>0.071</v>
      </c>
      <c r="G7" s="10" t="n">
        <v>1.56</v>
      </c>
      <c r="H7" s="10" t="n">
        <v>0.35</v>
      </c>
      <c r="I7" s="6" t="n">
        <v>1617</v>
      </c>
      <c r="J7" s="6" t="n">
        <v>267</v>
      </c>
    </row>
    <row r="8" customFormat="false" ht="15" hidden="false" customHeight="false" outlineLevel="0" collapsed="false">
      <c r="A8" s="4" t="n">
        <v>6</v>
      </c>
      <c r="B8" s="6" t="n">
        <v>745</v>
      </c>
      <c r="C8" s="8" t="n">
        <v>62.3</v>
      </c>
      <c r="D8" s="6" t="n">
        <v>1465</v>
      </c>
      <c r="E8" s="6" t="n">
        <v>3961</v>
      </c>
      <c r="F8" s="9" t="n">
        <v>0.078</v>
      </c>
      <c r="G8" s="10" t="n">
        <v>1.58</v>
      </c>
      <c r="H8" s="10" t="n">
        <v>0.39</v>
      </c>
      <c r="I8" s="6" t="n">
        <v>1632</v>
      </c>
      <c r="J8" s="6" t="n">
        <v>274</v>
      </c>
    </row>
    <row r="9" customFormat="false" ht="15" hidden="false" customHeight="false" outlineLevel="0" collapsed="false">
      <c r="A9" s="4" t="n">
        <v>7</v>
      </c>
      <c r="B9" s="6" t="n">
        <v>750</v>
      </c>
      <c r="C9" s="8" t="n">
        <v>51.8</v>
      </c>
      <c r="D9" s="6" t="n">
        <v>4666</v>
      </c>
      <c r="E9" s="6" t="n">
        <v>5034</v>
      </c>
      <c r="F9" s="9" t="n">
        <v>0.074</v>
      </c>
      <c r="G9" s="10" t="n">
        <v>1.68</v>
      </c>
      <c r="H9" s="10" t="n">
        <v>0.33</v>
      </c>
      <c r="I9" s="6" t="n">
        <v>1644</v>
      </c>
      <c r="J9" s="6" t="n">
        <v>279</v>
      </c>
    </row>
    <row r="10" customFormat="false" ht="15" hidden="false" customHeight="false" outlineLevel="0" collapsed="false">
      <c r="A10" s="4" t="n">
        <v>8</v>
      </c>
      <c r="B10" s="6" t="n">
        <v>750</v>
      </c>
      <c r="C10" s="8" t="n">
        <v>50.7</v>
      </c>
      <c r="D10" s="6" t="n">
        <v>4658</v>
      </c>
      <c r="E10" s="6" t="n">
        <v>5021</v>
      </c>
      <c r="F10" s="9" t="n">
        <v>0.072</v>
      </c>
      <c r="G10" s="10" t="n">
        <v>1.76</v>
      </c>
      <c r="H10" s="10" t="n">
        <v>0.34</v>
      </c>
      <c r="I10" s="6" t="n">
        <v>1620</v>
      </c>
      <c r="J10" s="6" t="n">
        <v>282</v>
      </c>
    </row>
    <row r="11" customFormat="false" ht="15" hidden="false" customHeight="false" outlineLevel="0" collapsed="false">
      <c r="A11" s="4" t="n">
        <v>9</v>
      </c>
      <c r="B11" s="6" t="n">
        <v>995</v>
      </c>
      <c r="C11" s="8" t="n">
        <v>61.3</v>
      </c>
      <c r="D11" s="6" t="n">
        <v>6141</v>
      </c>
      <c r="E11" s="6" t="n">
        <v>8756</v>
      </c>
      <c r="F11" s="9" t="n">
        <v>0.08</v>
      </c>
      <c r="G11" s="10" t="n">
        <v>1.7</v>
      </c>
      <c r="H11" s="10" t="n">
        <v>0.39</v>
      </c>
      <c r="I11" s="6" t="n">
        <v>1651</v>
      </c>
      <c r="J11" s="6" t="n">
        <v>288</v>
      </c>
    </row>
    <row r="12" customFormat="false" ht="15" hidden="false" customHeight="false" outlineLevel="0" collapsed="false">
      <c r="A12" s="4" t="n">
        <v>10</v>
      </c>
      <c r="B12" s="6" t="n">
        <v>1000</v>
      </c>
      <c r="C12" s="8" t="n">
        <v>52.6</v>
      </c>
      <c r="D12" s="6" t="n">
        <v>9653</v>
      </c>
      <c r="E12" s="6" t="n">
        <v>9983</v>
      </c>
      <c r="F12" s="9" t="n">
        <v>0.073</v>
      </c>
      <c r="G12" s="10" t="n">
        <v>1.62</v>
      </c>
      <c r="H12" s="10" t="n">
        <v>0.35</v>
      </c>
      <c r="I12" s="6" t="n">
        <v>1634</v>
      </c>
      <c r="J12" s="6" t="n">
        <v>293</v>
      </c>
    </row>
    <row r="13" customFormat="false" ht="15" hidden="false" customHeight="false" outlineLevel="0" collapsed="false">
      <c r="A13" s="4" t="n">
        <v>11</v>
      </c>
      <c r="B13" s="6" t="n">
        <v>1000</v>
      </c>
      <c r="C13" s="8" t="n">
        <v>50.8</v>
      </c>
      <c r="D13" s="6" t="n">
        <v>9611</v>
      </c>
      <c r="E13" s="6" t="n">
        <v>9893</v>
      </c>
      <c r="F13" s="9" t="n">
        <v>0.072</v>
      </c>
      <c r="G13" s="10" t="n">
        <v>1.61</v>
      </c>
      <c r="H13" s="10" t="n">
        <v>0.32</v>
      </c>
      <c r="I13" s="6" t="n">
        <v>1620</v>
      </c>
      <c r="J13" s="6" t="n">
        <v>297</v>
      </c>
    </row>
    <row r="14" customFormat="false" ht="15" hidden="false" customHeight="false" outlineLevel="0" collapsed="false">
      <c r="A14" s="4" t="n">
        <v>12</v>
      </c>
      <c r="B14" s="6" t="n">
        <v>1000</v>
      </c>
      <c r="C14" s="8" t="n">
        <v>50.8</v>
      </c>
      <c r="D14" s="6" t="n">
        <v>9658</v>
      </c>
      <c r="E14" s="6" t="n">
        <v>10014</v>
      </c>
      <c r="F14" s="9" t="n">
        <v>0.073</v>
      </c>
      <c r="G14" s="10" t="n">
        <v>1.66</v>
      </c>
      <c r="H14" s="10" t="n">
        <v>0.32</v>
      </c>
      <c r="I14" s="6" t="n">
        <v>1631</v>
      </c>
      <c r="J14" s="6" t="n">
        <v>300</v>
      </c>
    </row>
    <row r="15" customFormat="false" ht="15" hidden="false" customHeight="false" outlineLevel="0" collapsed="false">
      <c r="A15" s="4" t="n">
        <v>13</v>
      </c>
      <c r="B15" s="6" t="n">
        <v>1000</v>
      </c>
      <c r="C15" s="8" t="n">
        <v>50.8</v>
      </c>
      <c r="D15" s="6" t="n">
        <v>9718</v>
      </c>
      <c r="E15" s="6" t="n">
        <v>9995</v>
      </c>
      <c r="F15" s="9" t="n">
        <v>0.073</v>
      </c>
      <c r="G15" s="10" t="n">
        <v>1.66</v>
      </c>
      <c r="H15" s="10" t="n">
        <v>0.39</v>
      </c>
      <c r="I15" s="6" t="n">
        <v>1625</v>
      </c>
      <c r="J15" s="6" t="n">
        <v>302</v>
      </c>
    </row>
    <row r="16" customFormat="false" ht="15" hidden="false" customHeight="false" outlineLevel="0" collapsed="false">
      <c r="A16" s="4" t="n">
        <v>14</v>
      </c>
      <c r="B16" s="6" t="n">
        <v>1000</v>
      </c>
      <c r="C16" s="8" t="n">
        <v>34.1</v>
      </c>
      <c r="D16" s="6" t="n">
        <v>6293</v>
      </c>
      <c r="E16" s="6" t="n">
        <v>9943</v>
      </c>
      <c r="F16" s="9" t="n">
        <v>0.074</v>
      </c>
      <c r="G16" s="10" t="n">
        <v>1.68</v>
      </c>
      <c r="H16" s="10" t="n">
        <v>0.42</v>
      </c>
      <c r="I16" s="6" t="n">
        <v>1630</v>
      </c>
      <c r="J16" s="6" t="n">
        <v>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6" min="4" style="0" width="12"/>
    <col collapsed="false" customWidth="true" hidden="false" outlineLevel="0" max="10" min="7" style="0" width="13"/>
  </cols>
  <sheetData>
    <row r="1" customFormat="false" ht="15" hidden="false" customHeight="false" outlineLevel="0" collapsed="false">
      <c r="A1" s="3" t="s">
        <v>115</v>
      </c>
      <c r="B1" s="3" t="s">
        <v>116</v>
      </c>
      <c r="C1" s="3" t="s">
        <v>117</v>
      </c>
      <c r="D1" s="3" t="s">
        <v>95</v>
      </c>
      <c r="E1" s="3" t="s">
        <v>96</v>
      </c>
      <c r="F1" s="3" t="s">
        <v>118</v>
      </c>
      <c r="G1" s="3" t="s">
        <v>119</v>
      </c>
      <c r="H1" s="3" t="s">
        <v>120</v>
      </c>
      <c r="I1" s="3" t="s">
        <v>121</v>
      </c>
      <c r="J1" s="3" t="s">
        <v>122</v>
      </c>
    </row>
    <row r="2" customFormat="false" ht="15" hidden="false" customHeight="false" outlineLevel="0" collapsed="false">
      <c r="A2" s="4" t="n">
        <v>0</v>
      </c>
      <c r="B2" s="6" t="n">
        <v>245</v>
      </c>
      <c r="C2" s="8" t="n">
        <v>26.9</v>
      </c>
      <c r="D2" s="6" t="n">
        <v>27</v>
      </c>
      <c r="E2" s="6" t="n">
        <v>57</v>
      </c>
      <c r="F2" s="9" t="n">
        <v>0.036</v>
      </c>
      <c r="G2" s="10" t="n">
        <v>0.68</v>
      </c>
      <c r="H2" s="10" t="n">
        <v>0.14</v>
      </c>
      <c r="I2" s="6" t="n">
        <v>370</v>
      </c>
      <c r="J2" s="6" t="n">
        <v>342</v>
      </c>
    </row>
    <row r="3" customFormat="false" ht="15" hidden="false" customHeight="false" outlineLevel="0" collapsed="false">
      <c r="A3" s="4" t="n">
        <v>1</v>
      </c>
      <c r="B3" s="6" t="n">
        <v>250</v>
      </c>
      <c r="C3" s="8" t="n">
        <v>25.2</v>
      </c>
      <c r="D3" s="6" t="n">
        <v>28</v>
      </c>
      <c r="E3" s="6" t="n">
        <v>58</v>
      </c>
      <c r="F3" s="9" t="n">
        <v>0.041</v>
      </c>
      <c r="G3" s="10" t="n">
        <v>0.72</v>
      </c>
      <c r="H3" s="10" t="n">
        <v>0.2</v>
      </c>
      <c r="I3" s="6" t="n">
        <v>448</v>
      </c>
      <c r="J3" s="6" t="n">
        <v>343</v>
      </c>
    </row>
    <row r="4" customFormat="false" ht="15" hidden="false" customHeight="false" outlineLevel="0" collapsed="false">
      <c r="A4" s="4" t="n">
        <v>2</v>
      </c>
      <c r="B4" s="6" t="n">
        <v>250</v>
      </c>
      <c r="C4" s="8" t="n">
        <v>24.9</v>
      </c>
      <c r="D4" s="6" t="n">
        <v>28</v>
      </c>
      <c r="E4" s="6" t="n">
        <v>90</v>
      </c>
      <c r="F4" s="9" t="n">
        <v>0.037</v>
      </c>
      <c r="G4" s="10" t="n">
        <v>0.88</v>
      </c>
      <c r="H4" s="10" t="n">
        <v>0.21</v>
      </c>
      <c r="I4" s="6" t="n">
        <v>459</v>
      </c>
      <c r="J4" s="6" t="n">
        <v>344</v>
      </c>
    </row>
    <row r="5" customFormat="false" ht="15" hidden="false" customHeight="false" outlineLevel="0" collapsed="false">
      <c r="A5" s="4" t="n">
        <v>3</v>
      </c>
      <c r="B5" s="6" t="n">
        <v>495</v>
      </c>
      <c r="C5" s="8" t="n">
        <v>52.1</v>
      </c>
      <c r="D5" s="6" t="n">
        <v>27</v>
      </c>
      <c r="E5" s="6" t="n">
        <v>114</v>
      </c>
      <c r="F5" s="9" t="n">
        <v>0.07</v>
      </c>
      <c r="G5" s="10" t="n">
        <v>1.58</v>
      </c>
      <c r="H5" s="10" t="n">
        <v>0.31</v>
      </c>
      <c r="I5" s="6" t="n">
        <v>718</v>
      </c>
      <c r="J5" s="6" t="n">
        <v>346</v>
      </c>
    </row>
    <row r="6" customFormat="false" ht="15" hidden="false" customHeight="false" outlineLevel="0" collapsed="false">
      <c r="A6" s="4" t="n">
        <v>4</v>
      </c>
      <c r="B6" s="6" t="n">
        <v>500</v>
      </c>
      <c r="C6" s="8" t="n">
        <v>49.6</v>
      </c>
      <c r="D6" s="6" t="n">
        <v>28</v>
      </c>
      <c r="E6" s="6" t="n">
        <v>124</v>
      </c>
      <c r="F6" s="9" t="n">
        <v>0.075</v>
      </c>
      <c r="G6" s="10" t="n">
        <v>1.65</v>
      </c>
      <c r="H6" s="10" t="n">
        <v>0.35</v>
      </c>
      <c r="I6" s="6" t="n">
        <v>693</v>
      </c>
      <c r="J6" s="6" t="n">
        <v>349</v>
      </c>
    </row>
    <row r="7" customFormat="false" ht="15" hidden="false" customHeight="false" outlineLevel="0" collapsed="false">
      <c r="A7" s="4" t="n">
        <v>5</v>
      </c>
      <c r="B7" s="6" t="n">
        <v>500</v>
      </c>
      <c r="C7" s="8" t="n">
        <v>49.9</v>
      </c>
      <c r="D7" s="6" t="n">
        <v>30</v>
      </c>
      <c r="E7" s="6" t="n">
        <v>172</v>
      </c>
      <c r="F7" s="9" t="n">
        <v>0.071</v>
      </c>
      <c r="G7" s="10" t="n">
        <v>1.69</v>
      </c>
      <c r="H7" s="10" t="n">
        <v>0.32</v>
      </c>
      <c r="I7" s="6" t="n">
        <v>679</v>
      </c>
      <c r="J7" s="6" t="n">
        <v>352</v>
      </c>
    </row>
    <row r="8" customFormat="false" ht="15" hidden="false" customHeight="false" outlineLevel="0" collapsed="false">
      <c r="A8" s="4" t="n">
        <v>6</v>
      </c>
      <c r="B8" s="6" t="n">
        <v>745</v>
      </c>
      <c r="C8" s="8" t="n">
        <v>75.8</v>
      </c>
      <c r="D8" s="6" t="n">
        <v>29</v>
      </c>
      <c r="E8" s="6" t="n">
        <v>188</v>
      </c>
      <c r="F8" s="9" t="n">
        <v>0.104</v>
      </c>
      <c r="G8" s="10" t="n">
        <v>2.43</v>
      </c>
      <c r="H8" s="10" t="n">
        <v>0.46</v>
      </c>
      <c r="I8" s="6" t="n">
        <v>917</v>
      </c>
      <c r="J8" s="6" t="n">
        <v>358</v>
      </c>
    </row>
    <row r="9" customFormat="false" ht="15" hidden="false" customHeight="false" outlineLevel="0" collapsed="false">
      <c r="A9" s="4" t="n">
        <v>7</v>
      </c>
      <c r="B9" s="6" t="n">
        <v>750</v>
      </c>
      <c r="C9" s="8" t="n">
        <v>74.8</v>
      </c>
      <c r="D9" s="6" t="n">
        <v>30</v>
      </c>
      <c r="E9" s="6" t="n">
        <v>151</v>
      </c>
      <c r="F9" s="9" t="n">
        <v>0.11</v>
      </c>
      <c r="G9" s="10" t="n">
        <v>2.58</v>
      </c>
      <c r="H9" s="10" t="n">
        <v>0.55</v>
      </c>
      <c r="I9" s="6" t="n">
        <v>980</v>
      </c>
      <c r="J9" s="6" t="n">
        <v>363</v>
      </c>
    </row>
    <row r="10" customFormat="false" ht="15" hidden="false" customHeight="false" outlineLevel="0" collapsed="false">
      <c r="A10" s="4" t="n">
        <v>8</v>
      </c>
      <c r="B10" s="6" t="n">
        <v>750</v>
      </c>
      <c r="C10" s="8" t="n">
        <v>74.5</v>
      </c>
      <c r="D10" s="6" t="n">
        <v>30</v>
      </c>
      <c r="E10" s="6" t="n">
        <v>150</v>
      </c>
      <c r="F10" s="9" t="n">
        <v>0.114</v>
      </c>
      <c r="G10" s="10" t="n">
        <v>2.66</v>
      </c>
      <c r="H10" s="10" t="n">
        <v>0.53</v>
      </c>
      <c r="I10" s="6" t="n">
        <v>973</v>
      </c>
      <c r="J10" s="6" t="n">
        <v>368</v>
      </c>
    </row>
    <row r="11" customFormat="false" ht="15" hidden="false" customHeight="false" outlineLevel="0" collapsed="false">
      <c r="A11" s="4" t="n">
        <v>9</v>
      </c>
      <c r="B11" s="6" t="n">
        <v>995</v>
      </c>
      <c r="C11" s="8" t="n">
        <v>101.8</v>
      </c>
      <c r="D11" s="6" t="n">
        <v>31</v>
      </c>
      <c r="E11" s="6" t="n">
        <v>158</v>
      </c>
      <c r="F11" s="9" t="n">
        <v>0.165</v>
      </c>
      <c r="G11" s="10" t="n">
        <v>3.45</v>
      </c>
      <c r="H11" s="10" t="n">
        <v>0.82</v>
      </c>
      <c r="I11" s="6" t="n">
        <v>1240</v>
      </c>
      <c r="J11" s="6" t="n">
        <v>378</v>
      </c>
    </row>
    <row r="12" customFormat="false" ht="15" hidden="false" customHeight="false" outlineLevel="0" collapsed="false">
      <c r="A12" s="4" t="n">
        <v>10</v>
      </c>
      <c r="B12" s="6" t="n">
        <v>1000</v>
      </c>
      <c r="C12" s="8" t="n">
        <v>99.7</v>
      </c>
      <c r="D12" s="6" t="n">
        <v>33</v>
      </c>
      <c r="E12" s="6" t="n">
        <v>175</v>
      </c>
      <c r="F12" s="9" t="n">
        <v>0.159</v>
      </c>
      <c r="G12" s="10" t="n">
        <v>3.46</v>
      </c>
      <c r="H12" s="10" t="n">
        <v>0.89</v>
      </c>
      <c r="I12" s="6" t="n">
        <v>1211</v>
      </c>
      <c r="J12" s="6" t="n">
        <v>384</v>
      </c>
    </row>
    <row r="13" customFormat="false" ht="15" hidden="false" customHeight="false" outlineLevel="0" collapsed="false">
      <c r="A13" s="4" t="n">
        <v>11</v>
      </c>
      <c r="B13" s="6" t="n">
        <v>1000</v>
      </c>
      <c r="C13" s="8" t="n">
        <v>99.9</v>
      </c>
      <c r="D13" s="6" t="n">
        <v>32</v>
      </c>
      <c r="E13" s="6" t="n">
        <v>99</v>
      </c>
      <c r="F13" s="9" t="n">
        <v>0.162</v>
      </c>
      <c r="G13" s="10" t="n">
        <v>3.63</v>
      </c>
      <c r="H13" s="10" t="n">
        <v>0.78</v>
      </c>
      <c r="I13" s="6" t="n">
        <v>1239</v>
      </c>
      <c r="J13" s="6" t="n">
        <v>392</v>
      </c>
    </row>
    <row r="14" customFormat="false" ht="15" hidden="false" customHeight="false" outlineLevel="0" collapsed="false">
      <c r="A14" s="4" t="n">
        <v>12</v>
      </c>
      <c r="B14" s="6" t="n">
        <v>1000</v>
      </c>
      <c r="C14" s="8" t="n">
        <v>99.2</v>
      </c>
      <c r="D14" s="6" t="n">
        <v>32</v>
      </c>
      <c r="E14" s="6" t="n">
        <v>126</v>
      </c>
      <c r="F14" s="9" t="n">
        <v>0.164</v>
      </c>
      <c r="G14" s="10" t="n">
        <v>3.41</v>
      </c>
      <c r="H14" s="10" t="n">
        <v>0.8</v>
      </c>
      <c r="I14" s="6" t="n">
        <v>1270</v>
      </c>
      <c r="J14" s="6" t="n">
        <v>400</v>
      </c>
    </row>
    <row r="15" customFormat="false" ht="15" hidden="false" customHeight="false" outlineLevel="0" collapsed="false">
      <c r="A15" s="4" t="n">
        <v>13</v>
      </c>
      <c r="B15" s="6" t="n">
        <v>1000</v>
      </c>
      <c r="C15" s="8" t="n">
        <v>99.6</v>
      </c>
      <c r="D15" s="6" t="n">
        <v>32</v>
      </c>
      <c r="E15" s="6" t="n">
        <v>127</v>
      </c>
      <c r="F15" s="9" t="n">
        <v>0.164</v>
      </c>
      <c r="G15" s="10" t="n">
        <v>3.47</v>
      </c>
      <c r="H15" s="10" t="n">
        <v>0.84</v>
      </c>
      <c r="I15" s="6" t="n">
        <v>1268</v>
      </c>
      <c r="J15" s="6" t="n">
        <v>405</v>
      </c>
    </row>
    <row r="16" customFormat="false" ht="15" hidden="false" customHeight="false" outlineLevel="0" collapsed="false">
      <c r="A16" s="4" t="n">
        <v>14</v>
      </c>
      <c r="B16" s="6" t="n">
        <v>1000</v>
      </c>
      <c r="C16" s="8" t="n">
        <v>25.2</v>
      </c>
      <c r="D16" s="6" t="n">
        <v>27</v>
      </c>
      <c r="E16" s="6" t="n">
        <v>40</v>
      </c>
      <c r="F16" s="9" t="n">
        <v>0.16</v>
      </c>
      <c r="G16" s="10" t="n">
        <v>1.97</v>
      </c>
      <c r="H16" s="10" t="n">
        <v>0.52</v>
      </c>
      <c r="I16" s="6" t="n">
        <v>1188</v>
      </c>
      <c r="J16" s="6" t="n">
        <v>408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80"/>
  </cols>
  <sheetData>
    <row r="1" customFormat="false" ht="15" hidden="false" customHeight="false" outlineLevel="0" collapsed="false">
      <c r="A1" s="1" t="s">
        <v>123</v>
      </c>
    </row>
    <row r="3" customFormat="false" ht="15" hidden="false" customHeight="false" outlineLevel="0" collapsed="false">
      <c r="A3" s="3" t="s">
        <v>27</v>
      </c>
      <c r="B3" s="3" t="s">
        <v>28</v>
      </c>
      <c r="C3" s="3" t="s">
        <v>124</v>
      </c>
      <c r="D3" s="3" t="s">
        <v>125</v>
      </c>
    </row>
    <row r="4" customFormat="false" ht="15" hidden="false" customHeight="false" outlineLevel="0" collapsed="false">
      <c r="A4" s="4" t="s">
        <v>126</v>
      </c>
      <c r="B4" s="11" t="n">
        <v>42552</v>
      </c>
      <c r="C4" s="4" t="s">
        <v>127</v>
      </c>
      <c r="D4" s="4" t="s">
        <v>128</v>
      </c>
    </row>
    <row r="5" customFormat="false" ht="15" hidden="false" customHeight="false" outlineLevel="0" collapsed="false">
      <c r="A5" s="4" t="s">
        <v>129</v>
      </c>
      <c r="B5" s="11" t="n">
        <v>42897</v>
      </c>
      <c r="C5" s="4" t="s">
        <v>127</v>
      </c>
      <c r="D5" s="4" t="s">
        <v>130</v>
      </c>
    </row>
    <row r="6" customFormat="false" ht="15" hidden="false" customHeight="false" outlineLevel="0" collapsed="false">
      <c r="A6" s="4" t="s">
        <v>131</v>
      </c>
      <c r="B6" s="11" t="n">
        <v>49000</v>
      </c>
      <c r="C6" s="4" t="s">
        <v>127</v>
      </c>
      <c r="D6" s="4" t="s">
        <v>132</v>
      </c>
    </row>
    <row r="7" customFormat="false" ht="15" hidden="false" customHeight="false" outlineLevel="0" collapsed="false">
      <c r="A7" s="4" t="s">
        <v>133</v>
      </c>
      <c r="B7" s="11" t="n">
        <v>0</v>
      </c>
      <c r="C7" s="4" t="s">
        <v>127</v>
      </c>
      <c r="D7" s="4" t="s">
        <v>134</v>
      </c>
    </row>
    <row r="8" customFormat="false" ht="15" hidden="false" customHeight="false" outlineLevel="0" collapsed="false">
      <c r="A8" s="4" t="s">
        <v>135</v>
      </c>
      <c r="B8" s="11" t="n">
        <v>1744</v>
      </c>
      <c r="C8" s="4" t="s">
        <v>127</v>
      </c>
      <c r="D8" s="4" t="s">
        <v>136</v>
      </c>
    </row>
    <row r="9" customFormat="false" ht="15" hidden="false" customHeight="false" outlineLevel="0" collapsed="false">
      <c r="A9" s="4" t="s">
        <v>137</v>
      </c>
      <c r="B9" s="11" t="n">
        <v>800</v>
      </c>
      <c r="C9" s="4" t="s">
        <v>127</v>
      </c>
      <c r="D9" s="4" t="s">
        <v>138</v>
      </c>
    </row>
    <row r="10" customFormat="false" ht="15" hidden="false" customHeight="false" outlineLevel="0" collapsed="false">
      <c r="A10" s="4" t="s">
        <v>139</v>
      </c>
      <c r="B10" s="11" t="n">
        <v>3374</v>
      </c>
      <c r="C10" s="4" t="s">
        <v>127</v>
      </c>
      <c r="D10" s="4" t="s">
        <v>140</v>
      </c>
    </row>
    <row r="11" customFormat="false" ht="15" hidden="false" customHeight="false" outlineLevel="0" collapsed="false">
      <c r="A11" s="4" t="s">
        <v>141</v>
      </c>
      <c r="B11" s="6" t="n">
        <f aca="false">B6+B7+B8+B9+B10</f>
        <v>54918</v>
      </c>
      <c r="C11" s="4" t="s">
        <v>127</v>
      </c>
      <c r="D11" s="4" t="s">
        <v>142</v>
      </c>
    </row>
    <row r="13" customFormat="false" ht="15" hidden="false" customHeight="false" outlineLevel="0" collapsed="false">
      <c r="A13" s="5" t="s">
        <v>143</v>
      </c>
    </row>
    <row r="14" customFormat="false" ht="15" hidden="false" customHeight="false" outlineLevel="0" collapsed="false">
      <c r="A14" s="3" t="s">
        <v>144</v>
      </c>
      <c r="B14" s="3" t="s">
        <v>28</v>
      </c>
      <c r="C14" s="3" t="s">
        <v>124</v>
      </c>
      <c r="D14" s="3" t="s">
        <v>125</v>
      </c>
    </row>
    <row r="15" customFormat="false" ht="15" hidden="false" customHeight="false" outlineLevel="0" collapsed="false">
      <c r="A15" s="4" t="s">
        <v>91</v>
      </c>
      <c r="B15" s="12" t="n">
        <v>1000</v>
      </c>
      <c r="C15" s="4" t="s">
        <v>145</v>
      </c>
      <c r="D15" s="4" t="s">
        <v>146</v>
      </c>
    </row>
    <row r="16" customFormat="false" ht="15" hidden="false" customHeight="false" outlineLevel="0" collapsed="false">
      <c r="A16" s="4" t="s">
        <v>147</v>
      </c>
      <c r="B16" s="12" t="n">
        <v>20</v>
      </c>
      <c r="C16" s="4" t="s">
        <v>148</v>
      </c>
      <c r="D16" s="4" t="s">
        <v>146</v>
      </c>
    </row>
    <row r="17" customFormat="false" ht="15" hidden="false" customHeight="false" outlineLevel="0" collapsed="false">
      <c r="A17" s="4" t="s">
        <v>149</v>
      </c>
      <c r="B17" s="12" t="n">
        <v>42897</v>
      </c>
      <c r="C17" s="4" t="s">
        <v>127</v>
      </c>
      <c r="D17" s="4" t="s">
        <v>150</v>
      </c>
    </row>
    <row r="18" customFormat="false" ht="15" hidden="false" customHeight="false" outlineLevel="0" collapsed="false">
      <c r="A18" s="4" t="s">
        <v>151</v>
      </c>
      <c r="B18" s="6" t="n">
        <f aca="false">B7+B8+B9+B10</f>
        <v>5918</v>
      </c>
      <c r="C18" s="4" t="s">
        <v>127</v>
      </c>
      <c r="D18" s="4" t="s">
        <v>152</v>
      </c>
    </row>
    <row r="19" customFormat="false" ht="15" hidden="false" customHeight="false" outlineLevel="0" collapsed="false">
      <c r="A19" s="4" t="s">
        <v>153</v>
      </c>
      <c r="B19" s="6" t="n">
        <f aca="false">B6/B5</f>
        <v>1.14227102128354</v>
      </c>
      <c r="C19" s="4" t="s">
        <v>154</v>
      </c>
      <c r="D19" s="4" t="s">
        <v>155</v>
      </c>
    </row>
    <row r="21" customFormat="false" ht="15" hidden="false" customHeight="false" outlineLevel="0" collapsed="false">
      <c r="A21" s="3" t="s">
        <v>156</v>
      </c>
      <c r="B21" s="3" t="s">
        <v>28</v>
      </c>
      <c r="C21" s="3" t="s">
        <v>124</v>
      </c>
      <c r="D21" s="3" t="s">
        <v>157</v>
      </c>
    </row>
    <row r="22" customFormat="false" ht="15" hidden="false" customHeight="false" outlineLevel="0" collapsed="false">
      <c r="A22" s="4" t="s">
        <v>158</v>
      </c>
      <c r="B22" s="13" t="n">
        <f aca="false">(B17*B19+B18)/1024</f>
        <v>53.630859375</v>
      </c>
      <c r="C22" s="4" t="s">
        <v>159</v>
      </c>
      <c r="D22" s="4" t="s">
        <v>160</v>
      </c>
    </row>
    <row r="23" customFormat="false" ht="15" hidden="false" customHeight="false" outlineLevel="0" collapsed="false">
      <c r="A23" s="4" t="s">
        <v>161</v>
      </c>
      <c r="B23" s="13" t="n">
        <f aca="false">B15*(B17*B19+B18)/1024^2</f>
        <v>52.3738861083984</v>
      </c>
      <c r="C23" s="4" t="s">
        <v>162</v>
      </c>
      <c r="D23" s="4"/>
    </row>
    <row r="24" customFormat="false" ht="15" hidden="false" customHeight="false" outlineLevel="0" collapsed="false">
      <c r="A24" s="4" t="s">
        <v>163</v>
      </c>
      <c r="B24" s="13" t="n">
        <f aca="false">B15*B16*(B17*B19+B18)/1024^3</f>
        <v>1.02292746305466</v>
      </c>
      <c r="C24" s="4" t="s">
        <v>164</v>
      </c>
      <c r="D24" s="4"/>
    </row>
    <row r="25" customFormat="false" ht="15" hidden="false" customHeight="false" outlineLevel="0" collapsed="false">
      <c r="A25" s="4" t="s">
        <v>165</v>
      </c>
      <c r="B25" s="13" t="n">
        <f aca="false">B24*0.3</f>
        <v>0.306878238916397</v>
      </c>
      <c r="C25" s="4" t="s">
        <v>164</v>
      </c>
      <c r="D25" s="4" t="s">
        <v>166</v>
      </c>
    </row>
    <row r="27" customFormat="false" ht="15" hidden="false" customHeight="false" outlineLevel="0" collapsed="false">
      <c r="A27" s="5" t="s">
        <v>167</v>
      </c>
    </row>
    <row r="28" customFormat="false" ht="15" hidden="false" customHeight="false" outlineLevel="0" collapsed="false">
      <c r="A28" s="3" t="s">
        <v>168</v>
      </c>
      <c r="B28" s="3" t="s">
        <v>169</v>
      </c>
      <c r="C28" s="3" t="s">
        <v>170</v>
      </c>
      <c r="D28" s="3" t="s">
        <v>171</v>
      </c>
      <c r="E28" s="3" t="s">
        <v>172</v>
      </c>
    </row>
    <row r="29" customFormat="false" ht="15" hidden="false" customHeight="false" outlineLevel="0" collapsed="false">
      <c r="A29" s="4" t="s">
        <v>173</v>
      </c>
      <c r="B29" s="6" t="n">
        <v>42897</v>
      </c>
      <c r="C29" s="14" t="n">
        <f aca="false">1000*(B29*$B$19+$B$18)/1024^2</f>
        <v>52.3738861083984</v>
      </c>
      <c r="D29" s="13" t="n">
        <f aca="false">10*C29/1024</f>
        <v>0.511463731527329</v>
      </c>
      <c r="E29" s="13" t="n">
        <f aca="false">20*C29/1024</f>
        <v>1.02292746305466</v>
      </c>
    </row>
    <row r="30" customFormat="false" ht="15" hidden="false" customHeight="false" outlineLevel="0" collapsed="false">
      <c r="A30" s="4" t="s">
        <v>174</v>
      </c>
      <c r="B30" s="11" t="n">
        <v>500000</v>
      </c>
      <c r="C30" s="14" t="n">
        <f aca="false">1000*(B30*$B$19+$B$18)/1024^2</f>
        <v>550.321112291117</v>
      </c>
      <c r="D30" s="13" t="n">
        <f aca="false">10*C30/1024</f>
        <v>5.37422961221794</v>
      </c>
      <c r="E30" s="13" t="n">
        <f aca="false">20*C30/1024</f>
        <v>10.7484592244359</v>
      </c>
    </row>
    <row r="31" customFormat="false" ht="15" hidden="false" customHeight="false" outlineLevel="0" collapsed="false">
      <c r="A31" s="4" t="s">
        <v>175</v>
      </c>
      <c r="B31" s="11" t="n">
        <v>2000000</v>
      </c>
      <c r="C31" s="14" t="n">
        <f aca="false">1000*(B31*$B$19+$B$18)/1024^2</f>
        <v>2184.35291535099</v>
      </c>
      <c r="D31" s="13" t="n">
        <f aca="false">10*C31/1024</f>
        <v>21.3315714389745</v>
      </c>
      <c r="E31" s="13" t="n">
        <f aca="false">20*C31/1024</f>
        <v>42.663142877949</v>
      </c>
    </row>
    <row r="33" customFormat="false" ht="15" hidden="false" customHeight="false" outlineLevel="0" collapsed="false">
      <c r="A33" s="2" t="s">
        <v>176</v>
      </c>
    </row>
    <row r="34" customFormat="false" ht="15" hidden="false" customHeight="false" outlineLevel="0" collapsed="false">
      <c r="A34" s="2" t="s">
        <v>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3" t="s">
        <v>178</v>
      </c>
      <c r="B1" s="3" t="s">
        <v>179</v>
      </c>
      <c r="C1" s="3" t="s">
        <v>180</v>
      </c>
      <c r="D1" s="3" t="s">
        <v>181</v>
      </c>
      <c r="E1" s="3" t="s">
        <v>182</v>
      </c>
    </row>
    <row r="2" customFormat="false" ht="15" hidden="false" customHeight="false" outlineLevel="0" collapsed="false">
      <c r="A2" s="4" t="s">
        <v>183</v>
      </c>
      <c r="B2" s="4" t="s">
        <v>184</v>
      </c>
      <c r="C2" s="4" t="n">
        <v>250</v>
      </c>
      <c r="D2" s="4" t="n">
        <v>1000</v>
      </c>
      <c r="E2" s="4" t="s">
        <v>185</v>
      </c>
    </row>
    <row r="3" customFormat="false" ht="15" hidden="false" customHeight="false" outlineLevel="0" collapsed="false">
      <c r="A3" s="4" t="s">
        <v>186</v>
      </c>
      <c r="B3" s="4" t="s">
        <v>187</v>
      </c>
      <c r="C3" s="4" t="s">
        <v>188</v>
      </c>
      <c r="D3" s="4" t="s">
        <v>189</v>
      </c>
      <c r="E3" s="4" t="s">
        <v>190</v>
      </c>
    </row>
    <row r="4" customFormat="false" ht="15" hidden="false" customHeight="false" outlineLevel="0" collapsed="false">
      <c r="A4" s="4" t="s">
        <v>191</v>
      </c>
      <c r="B4" s="4" t="s">
        <v>187</v>
      </c>
      <c r="C4" s="4" t="n">
        <v>0</v>
      </c>
      <c r="D4" s="4" t="n">
        <v>10000</v>
      </c>
      <c r="E4" s="4" t="s">
        <v>192</v>
      </c>
    </row>
    <row r="5" customFormat="false" ht="15" hidden="false" customHeight="false" outlineLevel="0" collapsed="false">
      <c r="A5" s="4" t="s">
        <v>193</v>
      </c>
      <c r="B5" s="4" t="s">
        <v>194</v>
      </c>
      <c r="C5" s="4" t="s">
        <v>195</v>
      </c>
      <c r="D5" s="4" t="s">
        <v>196</v>
      </c>
      <c r="E5" s="4" t="s">
        <v>197</v>
      </c>
    </row>
    <row r="6" customFormat="false" ht="15" hidden="false" customHeight="false" outlineLevel="0" collapsed="false">
      <c r="A6" s="4" t="s">
        <v>198</v>
      </c>
      <c r="B6" s="4" t="s">
        <v>199</v>
      </c>
      <c r="C6" s="4" t="n">
        <v>151</v>
      </c>
      <c r="D6" s="4" t="n">
        <v>1100</v>
      </c>
      <c r="E6" s="4" t="s">
        <v>200</v>
      </c>
    </row>
    <row r="7" customFormat="false" ht="15" hidden="false" customHeight="false" outlineLevel="0" collapsed="false">
      <c r="A7" s="4" t="s">
        <v>201</v>
      </c>
      <c r="B7" s="4" t="s">
        <v>199</v>
      </c>
      <c r="C7" s="4" t="s">
        <v>202</v>
      </c>
      <c r="D7" s="4" t="s">
        <v>62</v>
      </c>
      <c r="E7" s="4" t="s">
        <v>203</v>
      </c>
    </row>
    <row r="8" customFormat="false" ht="15" hidden="false" customHeight="false" outlineLevel="0" collapsed="false">
      <c r="A8" s="4" t="s">
        <v>204</v>
      </c>
      <c r="B8" s="4" t="s">
        <v>205</v>
      </c>
      <c r="C8" s="4" t="n">
        <v>5</v>
      </c>
      <c r="D8" s="4" t="s">
        <v>206</v>
      </c>
      <c r="E8" s="4" t="s">
        <v>207</v>
      </c>
    </row>
    <row r="10" customFormat="false" ht="15" hidden="false" customHeight="false" outlineLevel="0" collapsed="false">
      <c r="A10" s="5" t="s">
        <v>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1" t="s">
        <v>209</v>
      </c>
    </row>
    <row r="3" customFormat="false" ht="15" hidden="false" customHeight="false" outlineLevel="0" collapsed="false">
      <c r="A3" s="3" t="s">
        <v>144</v>
      </c>
      <c r="B3" s="3" t="s">
        <v>28</v>
      </c>
      <c r="C3" s="3" t="s">
        <v>125</v>
      </c>
    </row>
    <row r="4" customFormat="false" ht="15" hidden="false" customHeight="false" outlineLevel="0" collapsed="false">
      <c r="A4" s="4" t="s">
        <v>210</v>
      </c>
      <c r="B4" s="15" t="n">
        <v>4.52</v>
      </c>
      <c r="C4" s="4" t="s">
        <v>211</v>
      </c>
    </row>
    <row r="5" customFormat="false" ht="15" hidden="false" customHeight="false" outlineLevel="0" collapsed="false">
      <c r="A5" s="4" t="s">
        <v>212</v>
      </c>
      <c r="B5" s="15" t="n">
        <v>24</v>
      </c>
      <c r="C5" s="4" t="s">
        <v>213</v>
      </c>
    </row>
    <row r="6" customFormat="false" ht="15" hidden="false" customHeight="false" outlineLevel="0" collapsed="false">
      <c r="A6" s="4" t="s">
        <v>214</v>
      </c>
      <c r="B6" s="16" t="n">
        <v>0.7</v>
      </c>
      <c r="C6" s="4" t="s">
        <v>215</v>
      </c>
    </row>
    <row r="7" customFormat="false" ht="15" hidden="false" customHeight="false" outlineLevel="0" collapsed="false">
      <c r="A7" s="4" t="s">
        <v>216</v>
      </c>
      <c r="B7" s="16" t="n">
        <v>0.3</v>
      </c>
      <c r="C7" s="4" t="s">
        <v>217</v>
      </c>
    </row>
    <row r="8" customFormat="false" ht="15" hidden="false" customHeight="false" outlineLevel="0" collapsed="false">
      <c r="A8" s="4" t="s">
        <v>218</v>
      </c>
      <c r="B8" s="15" t="n">
        <v>1.7</v>
      </c>
      <c r="C8" s="4" t="s">
        <v>219</v>
      </c>
    </row>
    <row r="11" customFormat="false" ht="15" hidden="false" customHeight="false" outlineLevel="0" collapsed="false">
      <c r="A11" s="3" t="s">
        <v>156</v>
      </c>
      <c r="B11" s="3" t="s">
        <v>91</v>
      </c>
      <c r="C11" s="3" t="s">
        <v>157</v>
      </c>
    </row>
    <row r="12" customFormat="false" ht="15" hidden="false" customHeight="false" outlineLevel="0" collapsed="false">
      <c r="A12" s="4" t="s">
        <v>220</v>
      </c>
      <c r="B12" s="6" t="n">
        <f aca="false">ROUND(B5*(1-B7)/B4*1000,-2)</f>
        <v>3700</v>
      </c>
      <c r="C12" s="4" t="s">
        <v>221</v>
      </c>
    </row>
    <row r="13" customFormat="false" ht="15" hidden="false" customHeight="false" outlineLevel="0" collapsed="false">
      <c r="A13" s="4" t="s">
        <v>222</v>
      </c>
      <c r="B13" s="6" t="n">
        <f aca="false">ROUND(B5*B6*(1-B7)/B4*1000,-2)</f>
        <v>2600</v>
      </c>
      <c r="C13" s="4" t="s">
        <v>223</v>
      </c>
    </row>
    <row r="14" customFormat="false" ht="15" hidden="false" customHeight="false" outlineLevel="0" collapsed="false">
      <c r="A14" s="4" t="s">
        <v>224</v>
      </c>
      <c r="B14" s="6" t="n">
        <f aca="false">B13/1000*B8</f>
        <v>4.42</v>
      </c>
      <c r="C14" s="4"/>
    </row>
    <row r="16" customFormat="false" ht="15" hidden="false" customHeight="false" outlineLevel="0" collapsed="false">
      <c r="A16" s="2" t="s">
        <v>225</v>
      </c>
    </row>
    <row r="17" customFormat="false" ht="15" hidden="false" customHeight="false" outlineLevel="0" collapsed="false">
      <c r="A17" s="2" t="s">
        <v>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2026-09-29T13:22:36Z</dcterms:created>
  <dc:creator>openpyxl</dc:creator>
  <dc:description/>
  <dc:language>en-IN</dc:language>
  <cp:lastModifiedBy/>
  <dcterms:modified xsi:type="dcterms:W3CDTF">2026-09-29T18:52:40Z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