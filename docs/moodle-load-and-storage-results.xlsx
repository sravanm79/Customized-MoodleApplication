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oad Tests" sheetId="2" state="visible" r:id="rId2"/>
    <sheet xmlns:r="http://schemas.openxmlformats.org/officeDocument/2006/relationships" name="B Default per-minute" sheetId="3" state="visible" r:id="rId3"/>
    <sheet xmlns:r="http://schemas.openxmlformats.org/officeDocument/2006/relationships" name="C Tuned per-minute" sheetId="4" state="visible" r:id="rId4"/>
    <sheet xmlns:r="http://schemas.openxmlformats.org/officeDocument/2006/relationships" name="Storage" sheetId="5" state="visible" r:id="rId5"/>
    <sheet xmlns:r="http://schemas.openxmlformats.org/officeDocument/2006/relationships" name="Apache Fix" sheetId="6" state="visible" r:id="rId6"/>
    <sheet xmlns:r="http://schemas.openxmlformats.org/officeDocument/2006/relationships" name="Capacity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#,##0.0"/>
  </numFmts>
  <fonts count="12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color rgb="FF0000FF"/>
      <sz val="11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top" wrapText="1"/>
    </xf>
    <xf numFmtId="1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general" vertical="top" wrapText="1"/>
    </xf>
    <xf numFmtId="165" fontId="5" fillId="0" borderId="1" applyAlignment="1" pivotButton="0" quotePrefix="0" xfId="0">
      <alignment horizontal="general" vertical="top" wrapText="1"/>
    </xf>
    <xf numFmtId="2" fontId="5" fillId="0" borderId="1" applyAlignment="1" pivotButton="0" quotePrefix="0" xfId="0">
      <alignment horizontal="general" vertical="top" wrapText="1"/>
    </xf>
    <xf numFmtId="3" fontId="11" fillId="0" borderId="1" applyAlignment="1" pivotButton="0" quotePrefix="0" xfId="0">
      <alignment horizontal="general" vertical="top" wrapText="1"/>
    </xf>
    <xf numFmtId="3" fontId="11" fillId="3" borderId="1" applyAlignment="1" pivotButton="0" quotePrefix="0" xfId="0">
      <alignment horizontal="general" vertical="top" wrapText="1"/>
    </xf>
    <xf numFmtId="4" fontId="5" fillId="0" borderId="1" applyAlignment="1" pivotButton="0" quotePrefix="0" xfId="0">
      <alignment horizontal="general" vertical="top" wrapText="1"/>
    </xf>
    <xf numFmtId="166" fontId="5" fillId="0" borderId="1" applyAlignment="1" pivotButton="0" quotePrefix="0" xfId="0">
      <alignment horizontal="general" vertical="top" wrapText="1"/>
    </xf>
    <xf numFmtId="2" fontId="11" fillId="3" borderId="1" applyAlignment="1" pivotButton="0" quotePrefix="0" xfId="0">
      <alignment horizontal="general" vertical="top" wrapText="1"/>
    </xf>
    <xf numFmtId="9" fontId="11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top" wrapText="1"/>
    </xf>
    <xf numFmtId="1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general" vertical="top" wrapText="1"/>
    </xf>
    <xf numFmtId="165" fontId="5" fillId="0" borderId="1" applyAlignment="1" pivotButton="0" quotePrefix="0" xfId="0">
      <alignment horizontal="general" vertical="top" wrapText="1"/>
    </xf>
    <xf numFmtId="2" fontId="5" fillId="0" borderId="1" applyAlignment="1" pivotButton="0" quotePrefix="0" xfId="0">
      <alignment horizontal="general" vertical="top" wrapText="1"/>
    </xf>
    <xf numFmtId="3" fontId="11" fillId="0" borderId="1" applyAlignment="1" pivotButton="0" quotePrefix="0" xfId="0">
      <alignment horizontal="general" vertical="top" wrapText="1"/>
    </xf>
    <xf numFmtId="3" fontId="11" fillId="3" borderId="1" applyAlignment="1" pivotButton="0" quotePrefix="0" xfId="0">
      <alignment horizontal="general" vertical="top" wrapText="1"/>
    </xf>
    <xf numFmtId="4" fontId="5" fillId="0" borderId="1" applyAlignment="1" pivotButton="0" quotePrefix="0" xfId="0">
      <alignment horizontal="general" vertical="top" wrapText="1"/>
    </xf>
    <xf numFmtId="166" fontId="5" fillId="0" borderId="1" applyAlignment="1" pivotButton="0" quotePrefix="0" xfId="0">
      <alignment horizontal="general" vertical="top" wrapText="1"/>
    </xf>
    <xf numFmtId="2" fontId="11" fillId="3" borderId="1" applyAlignment="1" pivotButton="0" quotePrefix="0" xfId="0">
      <alignment horizontal="general" vertical="top" wrapText="1"/>
    </xf>
    <xf numFmtId="9" fontId="11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 Default per-minute: page p95 latency vs students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'B Default per-minute'!E1</f>
              <strCache>
                <ptCount val="1"/>
                <pt idx="0">
                  <v>Page p95 (ms)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 Default per-minute'!$A$2:$A$16</f>
              <strCache>
                <ptCount val="15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</strCache>
            </strRef>
          </cat>
          <val>
            <numRef>
              <f>'B Default per-minute'!$E$2:$E$16</f>
              <numCache>
                <formatCode>General</formatCode>
                <ptCount val="15"/>
                <pt idx="0">
                  <v>273</v>
                </pt>
                <pt idx="1">
                  <v>142</v>
                </pt>
                <pt idx="2">
                  <v>158</v>
                </pt>
                <pt idx="3">
                  <v>177</v>
                </pt>
                <pt idx="4">
                  <v>416</v>
                </pt>
                <pt idx="5">
                  <v>235</v>
                </pt>
                <pt idx="6">
                  <v>3961</v>
                </pt>
                <pt idx="7">
                  <v>5034</v>
                </pt>
                <pt idx="8">
                  <v>5021</v>
                </pt>
                <pt idx="9">
                  <v>8756</v>
                </pt>
                <pt idx="10">
                  <v>9983</v>
                </pt>
                <pt idx="11">
                  <v>9893</v>
                </pt>
                <pt idx="12">
                  <v>10014</v>
                </pt>
                <pt idx="13">
                  <v>9995</v>
                </pt>
                <pt idx="14">
                  <v>9943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5686411"/>
        <axId val="58306586"/>
      </lineChart>
      <catAx>
        <axId val="4568641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Minute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8306586"/>
        <crosses val="autoZero"/>
        <auto val="1"/>
        <lblAlgn val="ctr"/>
        <lblOffset val="100"/>
        <noMultiLvlLbl val="0"/>
      </catAx>
      <valAx>
        <axId val="5830658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p95 (ms)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4568641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Active students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'B Default per-minute'!B1</f>
              <strCache>
                <ptCount val="1"/>
                <pt idx="0">
                  <v>Active students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 Default per-minute'!$A$2:$A$16</f>
              <strCache>
                <ptCount val="15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</strCache>
            </strRef>
          </cat>
          <val>
            <numRef>
              <f>'B Default per-minute'!$B$2:$B$16</f>
              <numCache>
                <formatCode>General</formatCode>
                <ptCount val="15"/>
                <pt idx="0">
                  <v>245</v>
                </pt>
                <pt idx="1">
                  <v>250</v>
                </pt>
                <pt idx="2">
                  <v>250</v>
                </pt>
                <pt idx="3">
                  <v>495</v>
                </pt>
                <pt idx="4">
                  <v>500</v>
                </pt>
                <pt idx="5">
                  <v>500</v>
                </pt>
                <pt idx="6">
                  <v>745</v>
                </pt>
                <pt idx="7">
                  <v>750</v>
                </pt>
                <pt idx="8">
                  <v>750</v>
                </pt>
                <pt idx="9">
                  <v>995</v>
                </pt>
                <pt idx="10">
                  <v>1000</v>
                </pt>
                <pt idx="11">
                  <v>1000</v>
                </pt>
                <pt idx="12">
                  <v>1000</v>
                </pt>
                <pt idx="13">
                  <v>1000</v>
                </pt>
                <pt idx="14">
                  <v>1000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71554854"/>
        <axId val="76944397"/>
      </lineChart>
      <catAx>
        <axId val="7155485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6944397"/>
        <crosses val="autoZero"/>
        <auto val="1"/>
        <lblAlgn val="ctr"/>
        <lblOffset val="100"/>
        <noMultiLvlLbl val="0"/>
      </catAx>
      <valAx>
        <axId val="7694439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155485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C Tuned per-minute: page p95 latency vs students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 Tuned per-minute'!E1</f>
              <strCache>
                <ptCount val="1"/>
                <pt idx="0">
                  <v>Page p95 (ms)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 Tuned per-minute'!$A$2:$A$16</f>
              <strCache>
                <ptCount val="15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</strCache>
            </strRef>
          </cat>
          <val>
            <numRef>
              <f>'C Tuned per-minute'!$E$2:$E$16</f>
              <numCache>
                <formatCode>General</formatCode>
                <ptCount val="15"/>
                <pt idx="0">
                  <v>57</v>
                </pt>
                <pt idx="1">
                  <v>58</v>
                </pt>
                <pt idx="2">
                  <v>90</v>
                </pt>
                <pt idx="3">
                  <v>114</v>
                </pt>
                <pt idx="4">
                  <v>124</v>
                </pt>
                <pt idx="5">
                  <v>172</v>
                </pt>
                <pt idx="6">
                  <v>188</v>
                </pt>
                <pt idx="7">
                  <v>151</v>
                </pt>
                <pt idx="8">
                  <v>150</v>
                </pt>
                <pt idx="9">
                  <v>158</v>
                </pt>
                <pt idx="10">
                  <v>175</v>
                </pt>
                <pt idx="11">
                  <v>99</v>
                </pt>
                <pt idx="12">
                  <v>126</v>
                </pt>
                <pt idx="13">
                  <v>127</v>
                </pt>
                <pt idx="14">
                  <v>40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70539269"/>
        <axId val="58256305"/>
      </lineChart>
      <catAx>
        <axId val="7053926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Minute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8256305"/>
        <crosses val="autoZero"/>
        <auto val="1"/>
        <lblAlgn val="ctr"/>
        <lblOffset val="100"/>
        <noMultiLvlLbl val="0"/>
      </catAx>
      <valAx>
        <axId val="5825630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p95 (ms)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053926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Active students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 Tuned per-minute'!B1</f>
              <strCache>
                <ptCount val="1"/>
                <pt idx="0">
                  <v>Active students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 Tuned per-minute'!$A$2:$A$16</f>
              <strCache>
                <ptCount val="15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</strCache>
            </strRef>
          </cat>
          <val>
            <numRef>
              <f>'C Tuned per-minute'!$B$2:$B$16</f>
              <numCache>
                <formatCode>General</formatCode>
                <ptCount val="15"/>
                <pt idx="0">
                  <v>245</v>
                </pt>
                <pt idx="1">
                  <v>250</v>
                </pt>
                <pt idx="2">
                  <v>250</v>
                </pt>
                <pt idx="3">
                  <v>495</v>
                </pt>
                <pt idx="4">
                  <v>500</v>
                </pt>
                <pt idx="5">
                  <v>500</v>
                </pt>
                <pt idx="6">
                  <v>745</v>
                </pt>
                <pt idx="7">
                  <v>750</v>
                </pt>
                <pt idx="8">
                  <v>750</v>
                </pt>
                <pt idx="9">
                  <v>995</v>
                </pt>
                <pt idx="10">
                  <v>1000</v>
                </pt>
                <pt idx="11">
                  <v>1000</v>
                </pt>
                <pt idx="12">
                  <v>1000</v>
                </pt>
                <pt idx="13">
                  <v>1000</v>
                </pt>
                <pt idx="14">
                  <v>1000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53878767"/>
        <axId val="98337690"/>
      </lineChart>
      <catAx>
        <axId val="538787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98337690"/>
        <crosses val="autoZero"/>
        <auto val="1"/>
        <lblAlgn val="ctr"/>
        <lblOffset val="100"/>
        <noMultiLvlLbl val="0"/>
      </catAx>
      <valAx>
        <axId val="9833769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387876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 editAs="oneCell">
    <from>
      <col>11</col>
      <colOff>0</colOff>
      <row>1</row>
      <rowOff>0</rowOff>
    </from>
    <to>
      <col>19</col>
      <colOff>408960</colOff>
      <row>16</row>
      <rowOff>21960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11</col>
      <colOff>0</colOff>
      <row>18</row>
      <rowOff>0</rowOff>
    </from>
    <to>
      <col>19</col>
      <colOff>408960</colOff>
      <row>33</row>
      <rowOff>21960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11</col>
      <colOff>0</colOff>
      <row>1</row>
      <rowOff>0</rowOff>
    </from>
    <to>
      <col>19</col>
      <colOff>408960</colOff>
      <row>16</row>
      <rowOff>21960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11</col>
      <colOff>0</colOff>
      <row>18</row>
      <rowOff>0</rowOff>
    </from>
    <to>
      <col>19</col>
      <colOff>408960</colOff>
      <row>33</row>
      <rowOff>21960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8" customWidth="1" style="17" min="1" max="1"/>
    <col width="40" customWidth="1" style="17" min="2" max="2"/>
    <col width="90" customWidth="1" style="17" min="3" max="3"/>
    <col width="55" customWidth="1" style="17" min="4" max="4"/>
  </cols>
  <sheetData>
    <row r="1" ht="15" customHeight="1" s="18">
      <c r="A1" s="19" t="inlineStr">
        <is>
          <t>Moodle load test (1000 students, CPU only) &amp; .ipynb storage sizing</t>
        </is>
      </c>
    </row>
    <row r="2" ht="15" customHeight="1" s="18">
      <c r="A2" s="20" t="inlineStr">
        <is>
          <t>Date 2026-09-29 · Moodle 5.0.1 (Bitnami Docker) · k6 v0.54.0 · server vocab-server3</t>
        </is>
      </c>
    </row>
    <row r="3"/>
    <row r="4" ht="15" customHeight="1" s="18">
      <c r="A4" s="21" t="inlineStr">
        <is>
          <t>Question</t>
        </is>
      </c>
      <c r="B4" s="21" t="inlineStr">
        <is>
          <t>Answer</t>
        </is>
      </c>
      <c r="C4" s="21" t="inlineStr">
        <is>
          <t>Evidence</t>
        </is>
      </c>
    </row>
    <row r="5" ht="15" customHeight="1" s="18">
      <c r="A5" s="22" t="inlineStr">
        <is>
          <t>Can 1000 students use it at the same time (CPU only)?</t>
        </is>
      </c>
      <c r="B5" s="22" t="inlineStr">
        <is>
          <t>YES — after Apache tuning</t>
        </is>
      </c>
      <c r="C5" s="22" t="inlineStr">
        <is>
          <t>Test C: page p95 144 ms, 0 errors in 113,512 requests, host CPU peak 16.5 %</t>
        </is>
      </c>
    </row>
    <row r="6" ht="15" customHeight="1" s="18">
      <c r="A6" s="22" t="inlineStr">
        <is>
          <t>Can 1000 students log in within 1 minute and all submit?</t>
        </is>
      </c>
      <c r="B6" s="22" t="inlineStr">
        <is>
          <t>YES</t>
        </is>
      </c>
      <c r="C6" s="22" t="inlineStr">
        <is>
          <t>Test D: login p95 93 ms, submit p95 75 ms, 1000/1000 submissions stored</t>
        </is>
      </c>
    </row>
    <row r="7" ht="15" customHeight="1" s="18">
      <c r="A7" s="22" t="inlineStr">
        <is>
          <t>What failed with the default config?</t>
        </is>
      </c>
      <c r="B7" s="22" t="inlineStr">
        <is>
          <t>Pages took 5–10 s from ~750 students</t>
        </is>
      </c>
      <c r="C7" s="22" t="inlineStr">
        <is>
          <t>Test B: Apache had only 250 workers, each held 5 s by idle keep-alive connections (CPU idle at ~7 %)</t>
        </is>
      </c>
    </row>
    <row r="8" ht="15" customHeight="1" s="18">
      <c r="A8" s="22" t="inlineStr">
        <is>
          <t>Resources used at 1000 students</t>
        </is>
      </c>
      <c r="B8" s="22" t="inlineStr">
        <is>
          <t>~4.5 CPU threads, ~1.7 GB RAM</t>
        </is>
      </c>
      <c r="C8" s="22" t="inlineStr">
        <is>
          <t>Moodle 3.6 cores + MariaDB 0.9 cores; see sheet "Capacity"</t>
        </is>
      </c>
    </row>
    <row r="9" ht="15" customHeight="1" s="18">
      <c r="A9" s="22" t="inlineStr">
        <is>
          <t>Storage per notebook submission</t>
        </is>
      </c>
      <c r="B9" s="22" t="inlineStr">
        <is>
          <t>≈ 55 KB</t>
        </is>
      </c>
      <c r="C9" s="22" t="inlineStr">
        <is>
          <t>49 KB file on disk + ~6 KB DB rows; see sheet "Storage"</t>
        </is>
      </c>
    </row>
    <row r="10" ht="15" customHeight="1" s="18">
      <c r="A10" s="22" t="inlineStr">
        <is>
          <t>Storage for 1000 students, 1 assignment</t>
        </is>
      </c>
      <c r="B10" s="22" t="inlineStr">
        <is>
          <t>≈ 55 MB</t>
        </is>
      </c>
      <c r="C10" s="22" t="inlineStr">
        <is>
          <t>Measured: filedir +48 MB, DB tables +6 MB</t>
        </is>
      </c>
    </row>
    <row r="11" ht="15" customHeight="1" s="18">
      <c r="A11" s="22" t="inlineStr">
        <is>
          <t>GPU used?</t>
        </is>
      </c>
      <c r="B11" s="22" t="inlineStr">
        <is>
          <t>No</t>
        </is>
      </c>
      <c r="C11" s="22" t="inlineStr">
        <is>
          <t>Moodle containers run with runc, no GPU devices attached</t>
        </is>
      </c>
    </row>
    <row r="12"/>
    <row r="13" ht="15" customHeight="1" s="18">
      <c r="A13" s="23" t="inlineStr">
        <is>
          <t>Notes (setup reference)</t>
        </is>
      </c>
    </row>
    <row r="14" ht="15" customHeight="1" s="18">
      <c r="A14" s="21" t="inlineStr">
        <is>
          <t>Item</t>
        </is>
      </c>
      <c r="B14" s="21" t="inlineStr">
        <is>
          <t>Value</t>
        </is>
      </c>
      <c r="C14" s="21" t="n"/>
    </row>
    <row r="15" ht="15" customHeight="1" s="18">
      <c r="A15" s="22" t="inlineStr">
        <is>
          <t>Moodle download</t>
        </is>
      </c>
      <c r="B15" s="22" t="inlineStr">
        <is>
          <t>https://download.moodle.org/</t>
        </is>
      </c>
      <c r="C15" s="22" t="n"/>
    </row>
    <row r="16" ht="15" customHeight="1" s="18">
      <c r="A16" s="22" t="inlineStr">
        <is>
          <t>Installation guide</t>
        </is>
      </c>
      <c r="B16" s="22" t="inlineStr">
        <is>
          <t>https://docs.moodle.org/502/en/Installing_Moodle</t>
        </is>
      </c>
      <c r="C16" s="22" t="n"/>
    </row>
    <row r="17" ht="15" customHeight="1" s="18">
      <c r="A17" s="22" t="inlineStr">
        <is>
          <t>Docker compose reference</t>
        </is>
      </c>
      <c r="B17" s="22" t="inlineStr">
        <is>
          <t>https://github.com/bitnami/containers/blob/main/bitnami/moodle/docker-compose.yml</t>
        </is>
      </c>
      <c r="C17" s="22" t="n"/>
    </row>
    <row r="18" ht="15" customHeight="1" s="18">
      <c r="A18" s="22" t="inlineStr">
        <is>
          <t>Admin credentials</t>
        </is>
      </c>
      <c r="B18" s="22" t="inlineStr">
        <is>
          <t>admin / password in .env (MOODLE_ADMIN_PASSWORD)</t>
        </is>
      </c>
      <c r="C18" s="22" t="n"/>
    </row>
    <row r="19" ht="15" customHeight="1" s="18">
      <c r="A19" s="22" t="inlineStr">
        <is>
          <t>Load-test students</t>
        </is>
      </c>
      <c r="B19" s="22" t="inlineStr">
        <is>
          <t>loadtest0001 … loadtest1000 / LoadTest#2026, course id 2</t>
        </is>
      </c>
      <c r="C19" s="22" t="n"/>
    </row>
    <row r="20"/>
    <row r="21" ht="15" customHeight="1" s="18">
      <c r="A21" s="23" t="inlineStr">
        <is>
          <t>Server specs</t>
        </is>
      </c>
    </row>
    <row r="22" ht="15" customHeight="1" s="18">
      <c r="A22" s="21" t="inlineStr">
        <is>
          <t>Component</t>
        </is>
      </c>
      <c r="B22" s="21" t="inlineStr">
        <is>
          <t>Original notes</t>
        </is>
      </c>
      <c r="C22" s="21" t="inlineStr">
        <is>
          <t>Actual test server (vocab-server3)</t>
        </is>
      </c>
    </row>
    <row r="23" ht="15" customHeight="1" s="18">
      <c r="A23" s="22" t="inlineStr">
        <is>
          <t>OS</t>
        </is>
      </c>
      <c r="B23" s="22" t="inlineStr">
        <is>
          <t>Ubuntu 24.04.3 LTS, 64-bit</t>
        </is>
      </c>
      <c r="C23" s="22" t="inlineStr">
        <is>
          <t>Ubuntu, kernel 6.8.0-138</t>
        </is>
      </c>
    </row>
    <row r="24" ht="15" customHeight="1" s="18">
      <c r="A24" s="22" t="inlineStr">
        <is>
          <t>CPU</t>
        </is>
      </c>
      <c r="B24" s="22" t="inlineStr">
        <is>
          <t>Intel Core i7-13700</t>
        </is>
      </c>
      <c r="C24" s="22" t="inlineStr">
        <is>
          <t>Intel Core i7-14700 (8 P-cores + 12 E-cores)</t>
        </is>
      </c>
    </row>
    <row r="25" ht="15" customHeight="1" s="18">
      <c r="A25" s="22" t="inlineStr">
        <is>
          <t>CPU capacity</t>
        </is>
      </c>
      <c r="B25" s="22" t="inlineStr">
        <is>
          <t>16 cores / 24 logical CPUs, 5.2 GHz</t>
        </is>
      </c>
      <c r="C25" s="22" t="inlineStr">
        <is>
          <t>20 cores / 28 logical CPUs, 5.3 GHz</t>
        </is>
      </c>
    </row>
    <row r="26" ht="15" customHeight="1" s="18">
      <c r="A26" s="22" t="inlineStr">
        <is>
          <t>RAM</t>
        </is>
      </c>
      <c r="B26" s="22" t="inlineStr">
        <is>
          <t>31 GB</t>
        </is>
      </c>
      <c r="C26" s="22" t="inlineStr">
        <is>
          <t>62 GB (~32 GB free; shared with other services)</t>
        </is>
      </c>
    </row>
    <row r="27" ht="15" customHeight="1" s="18">
      <c r="A27" s="22" t="inlineStr">
        <is>
          <t>Primary disk</t>
        </is>
      </c>
      <c r="B27" s="22" t="inlineStr">
        <is>
          <t>~477 GB NVMe, ~247 GB free</t>
        </is>
      </c>
      <c r="C27" s="22" t="inlineStr">
        <is>
          <t>456 GB NVMe, 133 GB free (Moodle Docker volumes live here)</t>
        </is>
      </c>
    </row>
    <row r="28" ht="15" customHeight="1" s="18">
      <c r="A28" s="22" t="inlineStr">
        <is>
          <t>Additional disk</t>
        </is>
      </c>
      <c r="B28" s="22" t="inlineStr">
        <is>
          <t>~931 GB</t>
        </is>
      </c>
      <c r="C28" s="22" t="inlineStr">
        <is>
          <t>1.8 TB, 285 GB free (not used by Moodle)</t>
        </is>
      </c>
    </row>
    <row r="29" ht="15" customHeight="1" s="18">
      <c r="A29" s="22" t="inlineStr">
        <is>
          <t>Swap</t>
        </is>
      </c>
      <c r="B29" s="22" t="inlineStr">
        <is>
          <t>2 GB</t>
        </is>
      </c>
      <c r="C29" s="22" t="inlineStr">
        <is>
          <t>2 GB</t>
        </is>
      </c>
    </row>
    <row r="30" ht="15" customHeight="1" s="18">
      <c r="A30" s="22" t="inlineStr">
        <is>
          <t>GPU</t>
        </is>
      </c>
      <c r="B30" s="22" t="inlineStr">
        <is>
          <t>—</t>
        </is>
      </c>
      <c r="C30" s="22" t="inlineStr">
        <is>
          <t>RTX 4000 Ada 20 GB — not used by Moodle</t>
        </is>
      </c>
    </row>
    <row r="31"/>
    <row r="32" ht="15" customHeight="1" s="18">
      <c r="A32" s="23" t="inlineStr">
        <is>
          <t>Moodle hardware requirements vs measured</t>
        </is>
      </c>
    </row>
    <row r="33" ht="15" customHeight="1" s="18">
      <c r="A33" s="21" t="inlineStr">
        <is>
          <t>Component</t>
        </is>
      </c>
      <c r="B33" s="21" t="inlineStr">
        <is>
          <t>Minimum</t>
        </is>
      </c>
      <c r="C33" s="21" t="inlineStr">
        <is>
          <t>Recommended / practical</t>
        </is>
      </c>
      <c r="D33" s="21" t="inlineStr">
        <is>
          <t>Measured at 1000 active students</t>
        </is>
      </c>
    </row>
    <row r="34" ht="15" customHeight="1" s="18">
      <c r="A34" s="22" t="inlineStr">
        <is>
          <t>Disk space</t>
        </is>
      </c>
      <c r="B34" s="22" t="inlineStr">
        <is>
          <t>200 MB for Moodle code</t>
        </is>
      </c>
      <c r="C34" s="22" t="inlineStr">
        <is>
          <t>5 GB or more, depending on course content and uploaded files</t>
        </is>
      </c>
      <c r="D34" s="22" t="inlineStr">
        <is>
          <t>Code 398 MB · DB ~300 MB · ~55 KB per notebook submission</t>
        </is>
      </c>
    </row>
    <row r="35" ht="15" customHeight="1" s="18">
      <c r="A35" s="22" t="inlineStr">
        <is>
          <t>Processor</t>
        </is>
      </c>
      <c r="B35" s="22" t="inlineStr">
        <is>
          <t>1 GHz</t>
        </is>
      </c>
      <c r="C35" s="22" t="inlineStr">
        <is>
          <t>2 GHz dual-core or higher</t>
        </is>
      </c>
      <c r="D35" s="22" t="inlineStr">
        <is>
          <t>~4.5 CPU threads peak (~16 % of this CPU)</t>
        </is>
      </c>
    </row>
    <row r="36" ht="15" customHeight="1" s="18">
      <c r="A36" s="22" t="inlineStr">
        <is>
          <t>Memory (RAM)</t>
        </is>
      </c>
      <c r="B36" s="22" t="inlineStr">
        <is>
          <t>512 MB</t>
        </is>
      </c>
      <c r="C36" s="22" t="inlineStr">
        <is>
          <t>1 GB or more; 8 GB+ for larger production environments</t>
        </is>
      </c>
      <c r="D36" s="22" t="inlineStr">
        <is>
          <t>~1.7 GB peak (Apache+PHP 1.27 GB, MariaDB 0.43 GB)</t>
        </is>
      </c>
    </row>
    <row r="37" ht="15" customHeight="1" s="18">
      <c r="A37" s="22" t="inlineStr">
        <is>
          <t>Web &amp; Database Servers</t>
        </is>
      </c>
      <c r="B37" s="22" t="inlineStr">
        <is>
          <t>Can run on the same server</t>
        </is>
      </c>
      <c r="C37" s="22" t="inlineStr">
        <is>
          <t>For larger deployments, consider separate web front-end and database servers</t>
        </is>
      </c>
      <c r="D37" s="22" t="inlineStr">
        <is>
          <t>Same server was fine at 1000 (DB &lt; 1 core)</t>
        </is>
      </c>
    </row>
    <row r="38" ht="15" customHeight="1" s="18">
      <c r="A38" s="22" t="inlineStr">
        <is>
          <t>Additional Storage</t>
        </is>
      </c>
      <c r="B38" s="22" t="inlineStr">
        <is>
          <t>Depends on content</t>
        </is>
      </c>
      <c r="C38" s="22" t="inlineStr">
        <is>
          <t>Course files, videos, backups, logs, and user uploads</t>
        </is>
      </c>
      <c r="D38" s="22" t="inlineStr">
        <is>
          <t>See sheet "Storage"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6" customWidth="1" style="17" min="1" max="1"/>
    <col width="14" customWidth="1" style="17" min="2" max="2"/>
    <col width="30" customWidth="1" style="17" min="3" max="3"/>
    <col width="13" customWidth="1" style="17" min="4" max="4"/>
    <col width="10" customWidth="1" style="17" min="5" max="5"/>
    <col width="12" customWidth="1" style="17" min="6" max="12"/>
  </cols>
  <sheetData>
    <row r="1" ht="15" customHeight="1" s="18">
      <c r="A1" s="21" t="inlineStr">
        <is>
          <t>Test</t>
        </is>
      </c>
      <c r="B1" s="21" t="inlineStr">
        <is>
          <t>Students</t>
        </is>
      </c>
      <c r="C1" s="21" t="inlineStr">
        <is>
          <t>Flow</t>
        </is>
      </c>
      <c r="D1" s="21" t="inlineStr">
        <is>
          <t>HTTP requests</t>
        </is>
      </c>
      <c r="E1" s="21" t="inlineStr">
        <is>
          <t>Error rate</t>
        </is>
      </c>
      <c r="F1" s="21" t="inlineStr">
        <is>
          <t>Page p50 (ms)</t>
        </is>
      </c>
      <c r="G1" s="21" t="inlineStr">
        <is>
          <t>Page p95 (ms)</t>
        </is>
      </c>
      <c r="H1" s="21" t="inlineStr">
        <is>
          <t>Page p99 (ms)</t>
        </is>
      </c>
      <c r="I1" s="21" t="inlineStr">
        <is>
          <t>Login p95 (ms)</t>
        </is>
      </c>
      <c r="J1" s="21" t="inlineStr">
        <is>
          <t>Upload p95 (ms)</t>
        </is>
      </c>
      <c r="K1" s="21" t="inlineStr">
        <is>
          <t>Submit p95 (ms)</t>
        </is>
      </c>
      <c r="L1" s="21" t="inlineStr">
        <is>
          <t>Verdict</t>
        </is>
      </c>
    </row>
    <row r="2" ht="15" customHeight="1" s="18">
      <c r="A2" s="22" t="inlineStr">
        <is>
          <t>A · default config</t>
        </is>
      </c>
      <c r="B2" s="22" t="inlineStr">
        <is>
          <t>50 → 300</t>
        </is>
      </c>
      <c r="C2" s="22" t="inlineStr">
        <is>
          <t>Browse, 5–15 s think</t>
        </is>
      </c>
      <c r="D2" s="24" t="n">
        <v>9556</v>
      </c>
      <c r="E2" s="25" t="n">
        <v>0</v>
      </c>
      <c r="F2" s="24" t="n">
        <v>28</v>
      </c>
      <c r="G2" s="24" t="n">
        <v>164</v>
      </c>
      <c r="H2" s="24" t="n">
        <v>454</v>
      </c>
      <c r="I2" s="24" t="n">
        <v>387</v>
      </c>
      <c r="J2" s="24" t="inlineStr">
        <is>
          <t>—</t>
        </is>
      </c>
      <c r="K2" s="24" t="inlineStr">
        <is>
          <t>—</t>
        </is>
      </c>
      <c r="L2" s="22" t="inlineStr">
        <is>
          <t>PASS</t>
        </is>
      </c>
    </row>
    <row r="3" ht="15" customHeight="1" s="18">
      <c r="A3" s="22" t="inlineStr">
        <is>
          <t>B · default config</t>
        </is>
      </c>
      <c r="B3" s="22" t="inlineStr">
        <is>
          <t>250 → 1000</t>
        </is>
      </c>
      <c r="C3" s="22" t="inlineStr">
        <is>
          <t>Browse, 5–15 s think</t>
        </is>
      </c>
      <c r="D3" s="24" t="n">
        <v>79112</v>
      </c>
      <c r="E3" s="25" t="n">
        <v>0</v>
      </c>
      <c r="F3" s="24" t="n">
        <v>4697</v>
      </c>
      <c r="G3" s="24" t="n">
        <v>9881</v>
      </c>
      <c r="H3" s="24" t="n">
        <v>10024</v>
      </c>
      <c r="I3" s="24" t="n">
        <v>8966</v>
      </c>
      <c r="J3" s="24" t="inlineStr">
        <is>
          <t>—</t>
        </is>
      </c>
      <c r="K3" s="24" t="inlineStr">
        <is>
          <t>—</t>
        </is>
      </c>
      <c r="L3" s="22" t="inlineStr">
        <is>
          <t>FAIL (slow)</t>
        </is>
      </c>
    </row>
    <row r="4" ht="15" customHeight="1" s="18">
      <c r="A4" s="22" t="inlineStr">
        <is>
          <t>C · tuned config</t>
        </is>
      </c>
      <c r="B4" s="22" t="inlineStr">
        <is>
          <t>250 → 1000</t>
        </is>
      </c>
      <c r="C4" s="22" t="inlineStr">
        <is>
          <t>Browse, 5–15 s think</t>
        </is>
      </c>
      <c r="D4" s="24" t="n">
        <v>113512</v>
      </c>
      <c r="E4" s="25" t="n">
        <v>0</v>
      </c>
      <c r="F4" s="24" t="n">
        <v>31</v>
      </c>
      <c r="G4" s="24" t="n">
        <v>144</v>
      </c>
      <c r="H4" s="24" t="n">
        <v>244</v>
      </c>
      <c r="I4" s="24" t="n">
        <v>198</v>
      </c>
      <c r="J4" s="24" t="inlineStr">
        <is>
          <t>—</t>
        </is>
      </c>
      <c r="K4" s="24" t="inlineStr">
        <is>
          <t>—</t>
        </is>
      </c>
      <c r="L4" s="22" t="inlineStr">
        <is>
          <t>PASS</t>
        </is>
      </c>
    </row>
    <row r="5" ht="15" customHeight="1" s="18">
      <c r="A5" s="22" t="inlineStr">
        <is>
          <t>D · tuned: login storm + submission rush</t>
        </is>
      </c>
      <c r="B5" s="22" t="inlineStr">
        <is>
          <t>1000 in 60 s</t>
        </is>
      </c>
      <c r="C5" s="22" t="inlineStr">
        <is>
          <t>Login + upload notebook + submit</t>
        </is>
      </c>
      <c r="D5" s="24" t="n">
        <v>11000</v>
      </c>
      <c r="E5" s="25" t="n">
        <v>0</v>
      </c>
      <c r="F5" s="24" t="n">
        <v>30</v>
      </c>
      <c r="G5" s="24" t="n">
        <v>52</v>
      </c>
      <c r="H5" s="24" t="n">
        <v>100</v>
      </c>
      <c r="I5" s="24" t="n">
        <v>93</v>
      </c>
      <c r="J5" s="24" t="n">
        <v>14</v>
      </c>
      <c r="K5" s="24" t="n">
        <v>75</v>
      </c>
      <c r="L5" s="22" t="inlineStr">
        <is>
          <t>PASS</t>
        </is>
      </c>
    </row>
    <row r="6"/>
    <row r="7" ht="15" customHeight="1" s="18">
      <c r="A7" s="20" t="inlineStr">
        <is>
          <t>Pass criteria: error rate &lt; 1 % and page p95 &lt; 3,000 ms. Every response checked for HTTP 200, no Moodle error page, no redirect to login.</t>
        </is>
      </c>
    </row>
    <row r="8" ht="15" customHeight="1" s="18">
      <c r="A8" s="20" t="inlineStr">
        <is>
          <t>Load generator pinned to 4 CPU cores (taskset -c 24-27). Each virtual user = one real student account. Every page also sends the navbar AJAX polls.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9" customWidth="1" style="17" min="1" max="1"/>
    <col width="12" customWidth="1" style="17" min="2" max="2"/>
    <col width="10" customWidth="1" style="17" min="3" max="3"/>
    <col width="12" customWidth="1" style="17" min="4" max="6"/>
    <col width="13" customWidth="1" style="17" min="7" max="10"/>
  </cols>
  <sheetData>
    <row r="1" ht="15" customHeight="1" s="18">
      <c r="A1" s="21" t="inlineStr">
        <is>
          <t>Minute</t>
        </is>
      </c>
      <c r="B1" s="21" t="inlineStr">
        <is>
          <t>Active students</t>
        </is>
      </c>
      <c r="C1" s="21" t="inlineStr">
        <is>
          <t>Pages/s</t>
        </is>
      </c>
      <c r="D1" s="21" t="inlineStr">
        <is>
          <t>Page p50 (ms)</t>
        </is>
      </c>
      <c r="E1" s="21" t="inlineStr">
        <is>
          <t>Page p95 (ms)</t>
        </is>
      </c>
      <c r="F1" s="21" t="inlineStr">
        <is>
          <t>Host CPU busy</t>
        </is>
      </c>
      <c r="G1" s="21" t="inlineStr">
        <is>
          <t>Moodle CPU (cores)</t>
        </is>
      </c>
      <c r="H1" s="21" t="inlineStr">
        <is>
          <t>MariaDB CPU (cores)</t>
        </is>
      </c>
      <c r="I1" s="21" t="inlineStr">
        <is>
          <t>Moodle RAM (MiB)</t>
        </is>
      </c>
      <c r="J1" s="21" t="inlineStr">
        <is>
          <t>MariaDB RAM (MiB)</t>
        </is>
      </c>
    </row>
    <row r="2" ht="15" customHeight="1" s="18">
      <c r="A2" s="22" t="n">
        <v>0</v>
      </c>
      <c r="B2" s="24" t="n">
        <v>245</v>
      </c>
      <c r="C2" s="26" t="n">
        <v>26.8</v>
      </c>
      <c r="D2" s="24" t="n">
        <v>27</v>
      </c>
      <c r="E2" s="24" t="n">
        <v>273</v>
      </c>
      <c r="F2" s="27" t="n">
        <v>0.036</v>
      </c>
      <c r="G2" s="28" t="n">
        <v>0.79</v>
      </c>
      <c r="H2" s="28" t="n">
        <v>0.14</v>
      </c>
      <c r="I2" s="24" t="n">
        <v>900</v>
      </c>
      <c r="J2" s="24" t="n">
        <v>246</v>
      </c>
    </row>
    <row r="3" ht="15" customHeight="1" s="18">
      <c r="A3" s="22" t="n">
        <v>1</v>
      </c>
      <c r="B3" s="24" t="n">
        <v>250</v>
      </c>
      <c r="C3" s="26" t="n">
        <v>24.4</v>
      </c>
      <c r="D3" s="24" t="n">
        <v>28</v>
      </c>
      <c r="E3" s="24" t="n">
        <v>142</v>
      </c>
      <c r="F3" s="27" t="n">
        <v>0.043</v>
      </c>
      <c r="G3" s="28" t="n">
        <v>0.77</v>
      </c>
      <c r="H3" s="28" t="n">
        <v>0.17</v>
      </c>
      <c r="I3" s="24" t="n">
        <v>1027</v>
      </c>
      <c r="J3" s="24" t="n">
        <v>249</v>
      </c>
    </row>
    <row r="4" ht="15" customHeight="1" s="18">
      <c r="A4" s="22" t="n">
        <v>2</v>
      </c>
      <c r="B4" s="24" t="n">
        <v>250</v>
      </c>
      <c r="C4" s="26" t="n">
        <v>25.1</v>
      </c>
      <c r="D4" s="24" t="n">
        <v>28</v>
      </c>
      <c r="E4" s="24" t="n">
        <v>158</v>
      </c>
      <c r="F4" s="27" t="n">
        <v>0.039</v>
      </c>
      <c r="G4" s="28" t="n">
        <v>1.29</v>
      </c>
      <c r="H4" s="28" t="n">
        <v>0.26</v>
      </c>
      <c r="I4" s="24" t="n">
        <v>1039</v>
      </c>
      <c r="J4" s="24" t="n">
        <v>251</v>
      </c>
    </row>
    <row r="5" ht="15" customHeight="1" s="18">
      <c r="A5" s="22" t="n">
        <v>3</v>
      </c>
      <c r="B5" s="24" t="n">
        <v>495</v>
      </c>
      <c r="C5" s="26" t="n">
        <v>51.3</v>
      </c>
      <c r="D5" s="24" t="n">
        <v>28</v>
      </c>
      <c r="E5" s="24" t="n">
        <v>177</v>
      </c>
      <c r="F5" s="27" t="n">
        <v>0.067</v>
      </c>
      <c r="G5" s="28" t="n">
        <v>1.38</v>
      </c>
      <c r="H5" s="28" t="n">
        <v>0.31</v>
      </c>
      <c r="I5" s="24" t="n">
        <v>1511</v>
      </c>
      <c r="J5" s="24" t="n">
        <v>259</v>
      </c>
    </row>
    <row r="6" ht="15" customHeight="1" s="18">
      <c r="A6" s="22" t="n">
        <v>4</v>
      </c>
      <c r="B6" s="24" t="n">
        <v>500</v>
      </c>
      <c r="C6" s="26" t="n">
        <v>50</v>
      </c>
      <c r="D6" s="24" t="n">
        <v>43</v>
      </c>
      <c r="E6" s="24" t="n">
        <v>416</v>
      </c>
      <c r="F6" s="27" t="n">
        <v>0.07099999999999999</v>
      </c>
      <c r="G6" s="28" t="n">
        <v>1.66</v>
      </c>
      <c r="H6" s="28" t="n">
        <v>0.39</v>
      </c>
      <c r="I6" s="24" t="n">
        <v>1640</v>
      </c>
      <c r="J6" s="24" t="n">
        <v>264</v>
      </c>
    </row>
    <row r="7" ht="15" customHeight="1" s="18">
      <c r="A7" s="22" t="n">
        <v>5</v>
      </c>
      <c r="B7" s="24" t="n">
        <v>500</v>
      </c>
      <c r="C7" s="26" t="n">
        <v>49.6</v>
      </c>
      <c r="D7" s="24" t="n">
        <v>32</v>
      </c>
      <c r="E7" s="24" t="n">
        <v>235</v>
      </c>
      <c r="F7" s="27" t="n">
        <v>0.07099999999999999</v>
      </c>
      <c r="G7" s="28" t="n">
        <v>1.56</v>
      </c>
      <c r="H7" s="28" t="n">
        <v>0.35</v>
      </c>
      <c r="I7" s="24" t="n">
        <v>1617</v>
      </c>
      <c r="J7" s="24" t="n">
        <v>267</v>
      </c>
    </row>
    <row r="8" ht="15" customHeight="1" s="18">
      <c r="A8" s="22" t="n">
        <v>6</v>
      </c>
      <c r="B8" s="24" t="n">
        <v>745</v>
      </c>
      <c r="C8" s="26" t="n">
        <v>62.3</v>
      </c>
      <c r="D8" s="24" t="n">
        <v>1465</v>
      </c>
      <c r="E8" s="24" t="n">
        <v>3961</v>
      </c>
      <c r="F8" s="27" t="n">
        <v>0.078</v>
      </c>
      <c r="G8" s="28" t="n">
        <v>1.58</v>
      </c>
      <c r="H8" s="28" t="n">
        <v>0.39</v>
      </c>
      <c r="I8" s="24" t="n">
        <v>1632</v>
      </c>
      <c r="J8" s="24" t="n">
        <v>274</v>
      </c>
    </row>
    <row r="9" ht="15" customHeight="1" s="18">
      <c r="A9" s="22" t="n">
        <v>7</v>
      </c>
      <c r="B9" s="24" t="n">
        <v>750</v>
      </c>
      <c r="C9" s="26" t="n">
        <v>51.8</v>
      </c>
      <c r="D9" s="24" t="n">
        <v>4666</v>
      </c>
      <c r="E9" s="24" t="n">
        <v>5034</v>
      </c>
      <c r="F9" s="27" t="n">
        <v>0.074</v>
      </c>
      <c r="G9" s="28" t="n">
        <v>1.68</v>
      </c>
      <c r="H9" s="28" t="n">
        <v>0.33</v>
      </c>
      <c r="I9" s="24" t="n">
        <v>1644</v>
      </c>
      <c r="J9" s="24" t="n">
        <v>279</v>
      </c>
    </row>
    <row r="10" ht="15" customHeight="1" s="18">
      <c r="A10" s="22" t="n">
        <v>8</v>
      </c>
      <c r="B10" s="24" t="n">
        <v>750</v>
      </c>
      <c r="C10" s="26" t="n">
        <v>50.7</v>
      </c>
      <c r="D10" s="24" t="n">
        <v>4658</v>
      </c>
      <c r="E10" s="24" t="n">
        <v>5021</v>
      </c>
      <c r="F10" s="27" t="n">
        <v>0.07199999999999999</v>
      </c>
      <c r="G10" s="28" t="n">
        <v>1.76</v>
      </c>
      <c r="H10" s="28" t="n">
        <v>0.34</v>
      </c>
      <c r="I10" s="24" t="n">
        <v>1620</v>
      </c>
      <c r="J10" s="24" t="n">
        <v>282</v>
      </c>
    </row>
    <row r="11" ht="15" customHeight="1" s="18">
      <c r="A11" s="22" t="n">
        <v>9</v>
      </c>
      <c r="B11" s="24" t="n">
        <v>995</v>
      </c>
      <c r="C11" s="26" t="n">
        <v>61.3</v>
      </c>
      <c r="D11" s="24" t="n">
        <v>6141</v>
      </c>
      <c r="E11" s="24" t="n">
        <v>8756</v>
      </c>
      <c r="F11" s="27" t="n">
        <v>0.08</v>
      </c>
      <c r="G11" s="28" t="n">
        <v>1.7</v>
      </c>
      <c r="H11" s="28" t="n">
        <v>0.39</v>
      </c>
      <c r="I11" s="24" t="n">
        <v>1651</v>
      </c>
      <c r="J11" s="24" t="n">
        <v>288</v>
      </c>
    </row>
    <row r="12" ht="15" customHeight="1" s="18">
      <c r="A12" s="22" t="n">
        <v>10</v>
      </c>
      <c r="B12" s="24" t="n">
        <v>1000</v>
      </c>
      <c r="C12" s="26" t="n">
        <v>52.6</v>
      </c>
      <c r="D12" s="24" t="n">
        <v>9653</v>
      </c>
      <c r="E12" s="24" t="n">
        <v>9983</v>
      </c>
      <c r="F12" s="27" t="n">
        <v>0.073</v>
      </c>
      <c r="G12" s="28" t="n">
        <v>1.62</v>
      </c>
      <c r="H12" s="28" t="n">
        <v>0.35</v>
      </c>
      <c r="I12" s="24" t="n">
        <v>1634</v>
      </c>
      <c r="J12" s="24" t="n">
        <v>293</v>
      </c>
    </row>
    <row r="13" ht="15" customHeight="1" s="18">
      <c r="A13" s="22" t="n">
        <v>11</v>
      </c>
      <c r="B13" s="24" t="n">
        <v>1000</v>
      </c>
      <c r="C13" s="26" t="n">
        <v>50.8</v>
      </c>
      <c r="D13" s="24" t="n">
        <v>9611</v>
      </c>
      <c r="E13" s="24" t="n">
        <v>9893</v>
      </c>
      <c r="F13" s="27" t="n">
        <v>0.07199999999999999</v>
      </c>
      <c r="G13" s="28" t="n">
        <v>1.61</v>
      </c>
      <c r="H13" s="28" t="n">
        <v>0.32</v>
      </c>
      <c r="I13" s="24" t="n">
        <v>1620</v>
      </c>
      <c r="J13" s="24" t="n">
        <v>297</v>
      </c>
    </row>
    <row r="14" ht="15" customHeight="1" s="18">
      <c r="A14" s="22" t="n">
        <v>12</v>
      </c>
      <c r="B14" s="24" t="n">
        <v>1000</v>
      </c>
      <c r="C14" s="26" t="n">
        <v>50.8</v>
      </c>
      <c r="D14" s="24" t="n">
        <v>9658</v>
      </c>
      <c r="E14" s="24" t="n">
        <v>10014</v>
      </c>
      <c r="F14" s="27" t="n">
        <v>0.073</v>
      </c>
      <c r="G14" s="28" t="n">
        <v>1.66</v>
      </c>
      <c r="H14" s="28" t="n">
        <v>0.32</v>
      </c>
      <c r="I14" s="24" t="n">
        <v>1631</v>
      </c>
      <c r="J14" s="24" t="n">
        <v>300</v>
      </c>
    </row>
    <row r="15" ht="15" customHeight="1" s="18">
      <c r="A15" s="22" t="n">
        <v>13</v>
      </c>
      <c r="B15" s="24" t="n">
        <v>1000</v>
      </c>
      <c r="C15" s="26" t="n">
        <v>50.8</v>
      </c>
      <c r="D15" s="24" t="n">
        <v>9718</v>
      </c>
      <c r="E15" s="24" t="n">
        <v>9995</v>
      </c>
      <c r="F15" s="27" t="n">
        <v>0.073</v>
      </c>
      <c r="G15" s="28" t="n">
        <v>1.66</v>
      </c>
      <c r="H15" s="28" t="n">
        <v>0.39</v>
      </c>
      <c r="I15" s="24" t="n">
        <v>1625</v>
      </c>
      <c r="J15" s="24" t="n">
        <v>302</v>
      </c>
    </row>
    <row r="16" ht="15" customHeight="1" s="18">
      <c r="A16" s="22" t="n">
        <v>14</v>
      </c>
      <c r="B16" s="24" t="n">
        <v>1000</v>
      </c>
      <c r="C16" s="26" t="n">
        <v>34.1</v>
      </c>
      <c r="D16" s="24" t="n">
        <v>6293</v>
      </c>
      <c r="E16" s="24" t="n">
        <v>9943</v>
      </c>
      <c r="F16" s="27" t="n">
        <v>0.074</v>
      </c>
      <c r="G16" s="28" t="n">
        <v>1.68</v>
      </c>
      <c r="H16" s="28" t="n">
        <v>0.42</v>
      </c>
      <c r="I16" s="24" t="n">
        <v>1630</v>
      </c>
      <c r="J16" s="24" t="n">
        <v>304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9" customWidth="1" style="17" min="1" max="1"/>
    <col width="12" customWidth="1" style="17" min="2" max="2"/>
    <col width="10" customWidth="1" style="17" min="3" max="3"/>
    <col width="12" customWidth="1" style="17" min="4" max="6"/>
    <col width="13" customWidth="1" style="17" min="7" max="10"/>
  </cols>
  <sheetData>
    <row r="1" ht="15" customHeight="1" s="18">
      <c r="A1" s="21" t="inlineStr">
        <is>
          <t>Minute</t>
        </is>
      </c>
      <c r="B1" s="21" t="inlineStr">
        <is>
          <t>Active students</t>
        </is>
      </c>
      <c r="C1" s="21" t="inlineStr">
        <is>
          <t>Pages/s</t>
        </is>
      </c>
      <c r="D1" s="21" t="inlineStr">
        <is>
          <t>Page p50 (ms)</t>
        </is>
      </c>
      <c r="E1" s="21" t="inlineStr">
        <is>
          <t>Page p95 (ms)</t>
        </is>
      </c>
      <c r="F1" s="21" t="inlineStr">
        <is>
          <t>Host CPU busy</t>
        </is>
      </c>
      <c r="G1" s="21" t="inlineStr">
        <is>
          <t>Moodle CPU (cores)</t>
        </is>
      </c>
      <c r="H1" s="21" t="inlineStr">
        <is>
          <t>MariaDB CPU (cores)</t>
        </is>
      </c>
      <c r="I1" s="21" t="inlineStr">
        <is>
          <t>Moodle RAM (MiB)</t>
        </is>
      </c>
      <c r="J1" s="21" t="inlineStr">
        <is>
          <t>MariaDB RAM (MiB)</t>
        </is>
      </c>
    </row>
    <row r="2" ht="15" customHeight="1" s="18">
      <c r="A2" s="22" t="n">
        <v>0</v>
      </c>
      <c r="B2" s="24" t="n">
        <v>245</v>
      </c>
      <c r="C2" s="26" t="n">
        <v>26.9</v>
      </c>
      <c r="D2" s="24" t="n">
        <v>27</v>
      </c>
      <c r="E2" s="24" t="n">
        <v>57</v>
      </c>
      <c r="F2" s="27" t="n">
        <v>0.036</v>
      </c>
      <c r="G2" s="28" t="n">
        <v>0.68</v>
      </c>
      <c r="H2" s="28" t="n">
        <v>0.14</v>
      </c>
      <c r="I2" s="24" t="n">
        <v>370</v>
      </c>
      <c r="J2" s="24" t="n">
        <v>342</v>
      </c>
    </row>
    <row r="3" ht="15" customHeight="1" s="18">
      <c r="A3" s="22" t="n">
        <v>1</v>
      </c>
      <c r="B3" s="24" t="n">
        <v>250</v>
      </c>
      <c r="C3" s="26" t="n">
        <v>25.2</v>
      </c>
      <c r="D3" s="24" t="n">
        <v>28</v>
      </c>
      <c r="E3" s="24" t="n">
        <v>58</v>
      </c>
      <c r="F3" s="27" t="n">
        <v>0.041</v>
      </c>
      <c r="G3" s="28" t="n">
        <v>0.72</v>
      </c>
      <c r="H3" s="28" t="n">
        <v>0.2</v>
      </c>
      <c r="I3" s="24" t="n">
        <v>448</v>
      </c>
      <c r="J3" s="24" t="n">
        <v>343</v>
      </c>
    </row>
    <row r="4" ht="15" customHeight="1" s="18">
      <c r="A4" s="22" t="n">
        <v>2</v>
      </c>
      <c r="B4" s="24" t="n">
        <v>250</v>
      </c>
      <c r="C4" s="26" t="n">
        <v>24.9</v>
      </c>
      <c r="D4" s="24" t="n">
        <v>28</v>
      </c>
      <c r="E4" s="24" t="n">
        <v>90</v>
      </c>
      <c r="F4" s="27" t="n">
        <v>0.037</v>
      </c>
      <c r="G4" s="28" t="n">
        <v>0.88</v>
      </c>
      <c r="H4" s="28" t="n">
        <v>0.21</v>
      </c>
      <c r="I4" s="24" t="n">
        <v>459</v>
      </c>
      <c r="J4" s="24" t="n">
        <v>344</v>
      </c>
    </row>
    <row r="5" ht="15" customHeight="1" s="18">
      <c r="A5" s="22" t="n">
        <v>3</v>
      </c>
      <c r="B5" s="24" t="n">
        <v>495</v>
      </c>
      <c r="C5" s="26" t="n">
        <v>52.1</v>
      </c>
      <c r="D5" s="24" t="n">
        <v>27</v>
      </c>
      <c r="E5" s="24" t="n">
        <v>114</v>
      </c>
      <c r="F5" s="27" t="n">
        <v>0.07000000000000001</v>
      </c>
      <c r="G5" s="28" t="n">
        <v>1.58</v>
      </c>
      <c r="H5" s="28" t="n">
        <v>0.31</v>
      </c>
      <c r="I5" s="24" t="n">
        <v>718</v>
      </c>
      <c r="J5" s="24" t="n">
        <v>346</v>
      </c>
    </row>
    <row r="6" ht="15" customHeight="1" s="18">
      <c r="A6" s="22" t="n">
        <v>4</v>
      </c>
      <c r="B6" s="24" t="n">
        <v>500</v>
      </c>
      <c r="C6" s="26" t="n">
        <v>49.6</v>
      </c>
      <c r="D6" s="24" t="n">
        <v>28</v>
      </c>
      <c r="E6" s="24" t="n">
        <v>124</v>
      </c>
      <c r="F6" s="27" t="n">
        <v>0.075</v>
      </c>
      <c r="G6" s="28" t="n">
        <v>1.65</v>
      </c>
      <c r="H6" s="28" t="n">
        <v>0.35</v>
      </c>
      <c r="I6" s="24" t="n">
        <v>693</v>
      </c>
      <c r="J6" s="24" t="n">
        <v>349</v>
      </c>
    </row>
    <row r="7" ht="15" customHeight="1" s="18">
      <c r="A7" s="22" t="n">
        <v>5</v>
      </c>
      <c r="B7" s="24" t="n">
        <v>500</v>
      </c>
      <c r="C7" s="26" t="n">
        <v>49.9</v>
      </c>
      <c r="D7" s="24" t="n">
        <v>30</v>
      </c>
      <c r="E7" s="24" t="n">
        <v>172</v>
      </c>
      <c r="F7" s="27" t="n">
        <v>0.07099999999999999</v>
      </c>
      <c r="G7" s="28" t="n">
        <v>1.69</v>
      </c>
      <c r="H7" s="28" t="n">
        <v>0.32</v>
      </c>
      <c r="I7" s="24" t="n">
        <v>679</v>
      </c>
      <c r="J7" s="24" t="n">
        <v>352</v>
      </c>
    </row>
    <row r="8" ht="15" customHeight="1" s="18">
      <c r="A8" s="22" t="n">
        <v>6</v>
      </c>
      <c r="B8" s="24" t="n">
        <v>745</v>
      </c>
      <c r="C8" s="26" t="n">
        <v>75.8</v>
      </c>
      <c r="D8" s="24" t="n">
        <v>29</v>
      </c>
      <c r="E8" s="24" t="n">
        <v>188</v>
      </c>
      <c r="F8" s="27" t="n">
        <v>0.104</v>
      </c>
      <c r="G8" s="28" t="n">
        <v>2.43</v>
      </c>
      <c r="H8" s="28" t="n">
        <v>0.46</v>
      </c>
      <c r="I8" s="24" t="n">
        <v>917</v>
      </c>
      <c r="J8" s="24" t="n">
        <v>358</v>
      </c>
    </row>
    <row r="9" ht="15" customHeight="1" s="18">
      <c r="A9" s="22" t="n">
        <v>7</v>
      </c>
      <c r="B9" s="24" t="n">
        <v>750</v>
      </c>
      <c r="C9" s="26" t="n">
        <v>74.8</v>
      </c>
      <c r="D9" s="24" t="n">
        <v>30</v>
      </c>
      <c r="E9" s="24" t="n">
        <v>151</v>
      </c>
      <c r="F9" s="27" t="n">
        <v>0.11</v>
      </c>
      <c r="G9" s="28" t="n">
        <v>2.58</v>
      </c>
      <c r="H9" s="28" t="n">
        <v>0.55</v>
      </c>
      <c r="I9" s="24" t="n">
        <v>980</v>
      </c>
      <c r="J9" s="24" t="n">
        <v>363</v>
      </c>
    </row>
    <row r="10" ht="15" customHeight="1" s="18">
      <c r="A10" s="22" t="n">
        <v>8</v>
      </c>
      <c r="B10" s="24" t="n">
        <v>750</v>
      </c>
      <c r="C10" s="26" t="n">
        <v>74.5</v>
      </c>
      <c r="D10" s="24" t="n">
        <v>30</v>
      </c>
      <c r="E10" s="24" t="n">
        <v>150</v>
      </c>
      <c r="F10" s="27" t="n">
        <v>0.114</v>
      </c>
      <c r="G10" s="28" t="n">
        <v>2.66</v>
      </c>
      <c r="H10" s="28" t="n">
        <v>0.53</v>
      </c>
      <c r="I10" s="24" t="n">
        <v>973</v>
      </c>
      <c r="J10" s="24" t="n">
        <v>368</v>
      </c>
    </row>
    <row r="11" ht="15" customHeight="1" s="18">
      <c r="A11" s="22" t="n">
        <v>9</v>
      </c>
      <c r="B11" s="24" t="n">
        <v>995</v>
      </c>
      <c r="C11" s="26" t="n">
        <v>101.8</v>
      </c>
      <c r="D11" s="24" t="n">
        <v>31</v>
      </c>
      <c r="E11" s="24" t="n">
        <v>158</v>
      </c>
      <c r="F11" s="27" t="n">
        <v>0.165</v>
      </c>
      <c r="G11" s="28" t="n">
        <v>3.45</v>
      </c>
      <c r="H11" s="28" t="n">
        <v>0.82</v>
      </c>
      <c r="I11" s="24" t="n">
        <v>1240</v>
      </c>
      <c r="J11" s="24" t="n">
        <v>378</v>
      </c>
    </row>
    <row r="12" ht="15" customHeight="1" s="18">
      <c r="A12" s="22" t="n">
        <v>10</v>
      </c>
      <c r="B12" s="24" t="n">
        <v>1000</v>
      </c>
      <c r="C12" s="26" t="n">
        <v>99.7</v>
      </c>
      <c r="D12" s="24" t="n">
        <v>33</v>
      </c>
      <c r="E12" s="24" t="n">
        <v>175</v>
      </c>
      <c r="F12" s="27" t="n">
        <v>0.159</v>
      </c>
      <c r="G12" s="28" t="n">
        <v>3.46</v>
      </c>
      <c r="H12" s="28" t="n">
        <v>0.89</v>
      </c>
      <c r="I12" s="24" t="n">
        <v>1211</v>
      </c>
      <c r="J12" s="24" t="n">
        <v>384</v>
      </c>
    </row>
    <row r="13" ht="15" customHeight="1" s="18">
      <c r="A13" s="22" t="n">
        <v>11</v>
      </c>
      <c r="B13" s="24" t="n">
        <v>1000</v>
      </c>
      <c r="C13" s="26" t="n">
        <v>99.90000000000001</v>
      </c>
      <c r="D13" s="24" t="n">
        <v>32</v>
      </c>
      <c r="E13" s="24" t="n">
        <v>99</v>
      </c>
      <c r="F13" s="27" t="n">
        <v>0.162</v>
      </c>
      <c r="G13" s="28" t="n">
        <v>3.63</v>
      </c>
      <c r="H13" s="28" t="n">
        <v>0.78</v>
      </c>
      <c r="I13" s="24" t="n">
        <v>1239</v>
      </c>
      <c r="J13" s="24" t="n">
        <v>392</v>
      </c>
    </row>
    <row r="14" ht="15" customHeight="1" s="18">
      <c r="A14" s="22" t="n">
        <v>12</v>
      </c>
      <c r="B14" s="24" t="n">
        <v>1000</v>
      </c>
      <c r="C14" s="26" t="n">
        <v>99.2</v>
      </c>
      <c r="D14" s="24" t="n">
        <v>32</v>
      </c>
      <c r="E14" s="24" t="n">
        <v>126</v>
      </c>
      <c r="F14" s="27" t="n">
        <v>0.164</v>
      </c>
      <c r="G14" s="28" t="n">
        <v>3.41</v>
      </c>
      <c r="H14" s="28" t="n">
        <v>0.8</v>
      </c>
      <c r="I14" s="24" t="n">
        <v>1270</v>
      </c>
      <c r="J14" s="24" t="n">
        <v>400</v>
      </c>
    </row>
    <row r="15" ht="15" customHeight="1" s="18">
      <c r="A15" s="22" t="n">
        <v>13</v>
      </c>
      <c r="B15" s="24" t="n">
        <v>1000</v>
      </c>
      <c r="C15" s="26" t="n">
        <v>99.59999999999999</v>
      </c>
      <c r="D15" s="24" t="n">
        <v>32</v>
      </c>
      <c r="E15" s="24" t="n">
        <v>127</v>
      </c>
      <c r="F15" s="27" t="n">
        <v>0.164</v>
      </c>
      <c r="G15" s="28" t="n">
        <v>3.47</v>
      </c>
      <c r="H15" s="28" t="n">
        <v>0.84</v>
      </c>
      <c r="I15" s="24" t="n">
        <v>1268</v>
      </c>
      <c r="J15" s="24" t="n">
        <v>405</v>
      </c>
    </row>
    <row r="16" ht="15" customHeight="1" s="18">
      <c r="A16" s="22" t="n">
        <v>14</v>
      </c>
      <c r="B16" s="24" t="n">
        <v>1000</v>
      </c>
      <c r="C16" s="26" t="n">
        <v>25.2</v>
      </c>
      <c r="D16" s="24" t="n">
        <v>27</v>
      </c>
      <c r="E16" s="24" t="n">
        <v>40</v>
      </c>
      <c r="F16" s="27" t="n">
        <v>0.16</v>
      </c>
      <c r="G16" s="28" t="n">
        <v>1.97</v>
      </c>
      <c r="H16" s="28" t="n">
        <v>0.52</v>
      </c>
      <c r="I16" s="24" t="n">
        <v>1188</v>
      </c>
      <c r="J16" s="24" t="n">
        <v>408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6" customWidth="1" style="17" min="1" max="1"/>
    <col width="14" customWidth="1" style="17" min="2" max="2"/>
    <col width="10" customWidth="1" style="17" min="3" max="3"/>
    <col width="80" customWidth="1" style="17" min="4" max="4"/>
  </cols>
  <sheetData>
    <row r="1" ht="15" customHeight="1" s="18">
      <c r="A1" s="19" t="inlineStr">
        <is>
          <t>Storage per .ipynb submission (reference: Python_Basics_Assignment_ANSWER_KEY.ipynb)</t>
        </is>
      </c>
    </row>
    <row r="2"/>
    <row r="3" ht="15" customHeight="1" s="18">
      <c r="A3" s="21" t="inlineStr">
        <is>
          <t>Item</t>
        </is>
      </c>
      <c r="B3" s="21" t="inlineStr">
        <is>
          <t>Value</t>
        </is>
      </c>
      <c r="C3" s="21" t="inlineStr">
        <is>
          <t>Unit</t>
        </is>
      </c>
      <c r="D3" s="21" t="inlineStr">
        <is>
          <t>Note</t>
        </is>
      </c>
    </row>
    <row r="4" ht="15" customHeight="1" s="18">
      <c r="A4" s="22" t="inlineStr">
        <is>
          <t>Reference notebook size</t>
        </is>
      </c>
      <c r="B4" s="29" t="n">
        <v>42552</v>
      </c>
      <c r="C4" s="22" t="inlineStr">
        <is>
          <t>bytes</t>
        </is>
      </c>
      <c r="D4" s="22" t="inlineStr">
        <is>
          <t>65 cells (33 markdown, 32 code), no images; gzip 8,145 bytes</t>
        </is>
      </c>
    </row>
    <row r="5" ht="15" customHeight="1" s="18">
      <c r="A5" s="22" t="inlineStr">
        <is>
          <t>Avg uploaded copy (unique per student)</t>
        </is>
      </c>
      <c r="B5" s="29" t="n">
        <v>42897</v>
      </c>
      <c r="C5" s="22" t="inlineStr">
        <is>
          <t>bytes</t>
        </is>
      </c>
      <c r="D5" s="22" t="inlineStr">
        <is>
          <t>student name + random value added to metadata so Moodle cannot dedupe</t>
        </is>
      </c>
    </row>
    <row r="6" ht="15" customHeight="1" s="18">
      <c r="A6" s="22" t="inlineStr">
        <is>
          <t>File on disk incl. 4 KB blocks + hash dirs</t>
        </is>
      </c>
      <c r="B6" s="29" t="n">
        <v>49000</v>
      </c>
      <c r="C6" s="22" t="inlineStr">
        <is>
          <t>bytes</t>
        </is>
      </c>
      <c r="D6" s="22" t="inlineStr">
        <is>
          <t>filedir grew 0.2 MB → 49.2 MB for 1000 files (du -sk)</t>
        </is>
      </c>
    </row>
    <row r="7" ht="15" customHeight="1" s="18">
      <c r="A7" s="22" t="inlineStr">
        <is>
          <t>Draft copy</t>
        </is>
      </c>
      <c r="B7" s="29" t="n">
        <v>0</v>
      </c>
      <c r="C7" s="22" t="inlineStr">
        <is>
          <t>bytes</t>
        </is>
      </c>
      <c r="D7" s="22" t="inlineStr">
        <is>
          <t>shares the same content-hash blob (verified 0 unshared drafts)</t>
        </is>
      </c>
    </row>
    <row r="8" ht="15" customHeight="1" s="18">
      <c r="A8" s="22" t="inlineStr">
        <is>
          <t>DB mdl_files (4 rows × 436 B)</t>
        </is>
      </c>
      <c r="B8" s="29" t="n">
        <v>1744</v>
      </c>
      <c r="C8" s="22" t="inlineStr">
        <is>
          <t>bytes</t>
        </is>
      </c>
      <c r="D8" s="22" t="inlineStr">
        <is>
          <t>file + folder rows for draft and submission</t>
        </is>
      </c>
    </row>
    <row r="9" ht="15" customHeight="1" s="18">
      <c r="A9" s="22" t="inlineStr">
        <is>
          <t>DB submission + grade rows</t>
        </is>
      </c>
      <c r="B9" s="29" t="n">
        <v>800</v>
      </c>
      <c r="C9" s="22" t="inlineStr">
        <is>
          <t>bytes</t>
        </is>
      </c>
      <c r="D9" s="22" t="inlineStr">
        <is>
          <t>mdl_assign_submission, mdl_grade_grades</t>
        </is>
      </c>
    </row>
    <row r="10" ht="15" customHeight="1" s="18">
      <c r="A10" s="22" t="inlineStr">
        <is>
          <t>DB event log (~14 rows × 241 B)</t>
        </is>
      </c>
      <c r="B10" s="29" t="n">
        <v>3374</v>
      </c>
      <c r="C10" s="22" t="inlineStr">
        <is>
          <t>bytes</t>
        </is>
      </c>
      <c r="D10" s="22" t="inlineStr">
        <is>
          <t>login, views, upload, submit</t>
        </is>
      </c>
    </row>
    <row r="11" ht="15" customHeight="1" s="18">
      <c r="A11" s="22" t="inlineStr">
        <is>
          <t>TOTAL per submission</t>
        </is>
      </c>
      <c r="B11" s="24">
        <f>B6+B7+B8+B9+B10</f>
        <v/>
      </c>
      <c r="C11" s="22" t="inlineStr">
        <is>
          <t>bytes</t>
        </is>
      </c>
      <c r="D11" s="22" t="inlineStr">
        <is>
          <t>formula</t>
        </is>
      </c>
    </row>
    <row r="12"/>
    <row r="13" ht="15" customHeight="1" s="18">
      <c r="A13" s="23" t="inlineStr">
        <is>
          <t>Projection (edit yellow cells)</t>
        </is>
      </c>
    </row>
    <row r="14" ht="15" customHeight="1" s="18">
      <c r="A14" s="21" t="inlineStr">
        <is>
          <t>Input</t>
        </is>
      </c>
      <c r="B14" s="21" t="inlineStr">
        <is>
          <t>Value</t>
        </is>
      </c>
      <c r="C14" s="21" t="inlineStr">
        <is>
          <t>Unit</t>
        </is>
      </c>
      <c r="D14" s="21" t="inlineStr">
        <is>
          <t>Note</t>
        </is>
      </c>
    </row>
    <row r="15" ht="15" customHeight="1" s="18">
      <c r="A15" s="22" t="inlineStr">
        <is>
          <t>Students</t>
        </is>
      </c>
      <c r="B15" s="30" t="n">
        <v>1000</v>
      </c>
      <c r="C15" s="22" t="inlineStr">
        <is>
          <t>students</t>
        </is>
      </c>
      <c r="D15" s="22" t="inlineStr">
        <is>
          <t>input</t>
        </is>
      </c>
    </row>
    <row r="16" ht="15" customHeight="1" s="18">
      <c r="A16" s="22" t="inlineStr">
        <is>
          <t>Notebook assignments per term</t>
        </is>
      </c>
      <c r="B16" s="30" t="n">
        <v>20</v>
      </c>
      <c r="C16" s="22" t="inlineStr">
        <is>
          <t>assignments</t>
        </is>
      </c>
      <c r="D16" s="22" t="inlineStr">
        <is>
          <t>input</t>
        </is>
      </c>
    </row>
    <row r="17" ht="15" customHeight="1" s="18">
      <c r="A17" s="22" t="inlineStr">
        <is>
          <t>Avg notebook size</t>
        </is>
      </c>
      <c r="B17" s="30" t="n">
        <v>42897</v>
      </c>
      <c r="C17" s="22" t="inlineStr">
        <is>
          <t>bytes</t>
        </is>
      </c>
      <c r="D17" s="22" t="inlineStr">
        <is>
          <t>input — measured copy size; use ~500,000 for notebooks with plots</t>
        </is>
      </c>
    </row>
    <row r="18" ht="15" customHeight="1" s="18">
      <c r="A18" s="22" t="inlineStr">
        <is>
          <t>DB overhead per submission</t>
        </is>
      </c>
      <c r="B18" s="24">
        <f>B7+B8+B9+B10</f>
        <v/>
      </c>
      <c r="C18" s="22" t="inlineStr">
        <is>
          <t>bytes</t>
        </is>
      </c>
      <c r="D18" s="22" t="inlineStr">
        <is>
          <t>from measured table above</t>
        </is>
      </c>
    </row>
    <row r="19" ht="15" customHeight="1" s="18">
      <c r="A19" s="22" t="inlineStr">
        <is>
          <t>Disk overhead factor (blocks + dirs)</t>
        </is>
      </c>
      <c r="B19" s="24">
        <f>B6/B5</f>
        <v/>
      </c>
      <c r="C19" s="22" t="inlineStr">
        <is>
          <t>x</t>
        </is>
      </c>
      <c r="D19" s="22" t="inlineStr">
        <is>
          <t>measured</t>
        </is>
      </c>
    </row>
    <row r="20"/>
    <row r="21" ht="15" customHeight="1" s="18">
      <c r="A21" s="21" t="inlineStr">
        <is>
          <t>Result</t>
        </is>
      </c>
      <c r="B21" s="21" t="inlineStr">
        <is>
          <t>Value</t>
        </is>
      </c>
      <c r="C21" s="21" t="inlineStr">
        <is>
          <t>Unit</t>
        </is>
      </c>
      <c r="D21" s="21" t="inlineStr">
        <is>
          <t>Formula</t>
        </is>
      </c>
    </row>
    <row r="22" ht="15" customHeight="1" s="18">
      <c r="A22" s="22" t="inlineStr">
        <is>
          <t>Per submission</t>
        </is>
      </c>
      <c r="B22" s="31">
        <f>(B17*B19+B18)/1024</f>
        <v/>
      </c>
      <c r="C22" s="22" t="inlineStr">
        <is>
          <t>KB</t>
        </is>
      </c>
      <c r="D22" s="22" t="inlineStr">
        <is>
          <t>(size × overhead + DB) / 1024</t>
        </is>
      </c>
    </row>
    <row r="23" ht="15" customHeight="1" s="18">
      <c r="A23" s="22" t="inlineStr">
        <is>
          <t>1000 students × 1 assignment</t>
        </is>
      </c>
      <c r="B23" s="31">
        <f>B15*(B17*B19+B18)/1024^2</f>
        <v/>
      </c>
      <c r="C23" s="22" t="inlineStr">
        <is>
          <t>MB</t>
        </is>
      </c>
      <c r="D23" s="22" t="n"/>
    </row>
    <row r="24" ht="15" customHeight="1" s="18">
      <c r="A24" s="22" t="inlineStr">
        <is>
          <t>All students × all assignments (term)</t>
        </is>
      </c>
      <c r="B24" s="31">
        <f>B15*B16*(B17*B19+B18)/1024^3</f>
        <v/>
      </c>
      <c r="C24" s="22" t="inlineStr">
        <is>
          <t>GB</t>
        </is>
      </c>
      <c r="D24" s="22" t="n"/>
    </row>
    <row r="25" ht="15" customHeight="1" s="18">
      <c r="A25" s="22" t="inlineStr">
        <is>
          <t>+ one course backup kept (≈ 30 % of files, zip)</t>
        </is>
      </c>
      <c r="B25" s="31">
        <f>B24*0.3</f>
        <v/>
      </c>
      <c r="C25" s="22" t="inlineStr">
        <is>
          <t>GB</t>
        </is>
      </c>
      <c r="D25" s="22" t="inlineStr">
        <is>
          <t>assumption: notebooks compress ~3–5× in .mbz</t>
        </is>
      </c>
    </row>
    <row r="26"/>
    <row r="27" ht="15" customHeight="1" s="18">
      <c r="A27" s="23" t="inlineStr">
        <is>
          <t>Scenario comparison (1000 students)</t>
        </is>
      </c>
    </row>
    <row r="28" ht="15" customHeight="1" s="18">
      <c r="A28" s="21" t="inlineStr">
        <is>
          <t>Scenario</t>
        </is>
      </c>
      <c r="B28" s="21" t="inlineStr">
        <is>
          <t>Notebook size (bytes)</t>
        </is>
      </c>
      <c r="C28" s="21" t="inlineStr">
        <is>
          <t>1 assignment (MB)</t>
        </is>
      </c>
      <c r="D28" s="21" t="inlineStr">
        <is>
          <t>10 assignments (GB)</t>
        </is>
      </c>
      <c r="E28" s="21" t="inlineStr">
        <is>
          <t>20 assignments (GB)</t>
        </is>
      </c>
    </row>
    <row r="29" ht="15" customHeight="1" s="18">
      <c r="A29" s="22" t="inlineStr">
        <is>
          <t>This notebook (measured)</t>
        </is>
      </c>
      <c r="B29" s="24" t="n">
        <v>42897</v>
      </c>
      <c r="C29" s="32">
        <f>1000*(B29*$B$19+$B$18)/1024^2</f>
        <v/>
      </c>
      <c r="D29" s="31">
        <f>10*C29/1024</f>
        <v/>
      </c>
      <c r="E29" s="31">
        <f>20*C29/1024</f>
        <v/>
      </c>
    </row>
    <row r="30" ht="15" customHeight="1" s="18">
      <c r="A30" s="22" t="inlineStr">
        <is>
          <t>Notebook with a few plots (estimate)</t>
        </is>
      </c>
      <c r="B30" s="29" t="n">
        <v>500000</v>
      </c>
      <c r="C30" s="32">
        <f>1000*(B30*$B$19+$B$18)/1024^2</f>
        <v/>
      </c>
      <c r="D30" s="31">
        <f>10*C30/1024</f>
        <v/>
      </c>
      <c r="E30" s="31">
        <f>20*C30/1024</f>
        <v/>
      </c>
    </row>
    <row r="31" ht="15" customHeight="1" s="18">
      <c r="A31" s="22" t="inlineStr">
        <is>
          <t>Heavy notebook / data (estimate)</t>
        </is>
      </c>
      <c r="B31" s="29" t="n">
        <v>2000000</v>
      </c>
      <c r="C31" s="32">
        <f>1000*(B31*$B$19+$B$18)/1024^2</f>
        <v/>
      </c>
      <c r="D31" s="31">
        <f>10*C31/1024</f>
        <v/>
      </c>
      <c r="E31" s="31">
        <f>20*C31/1024</f>
        <v/>
      </c>
    </row>
    <row r="32"/>
    <row r="33" ht="15" customHeight="1" s="18">
      <c r="A33" s="20" t="inlineStr">
        <is>
          <t>Other growth: event log ~240 B per page view (≈0.9 GB/semester for 1000 students × 30 views/day × 120 days); sessions &amp; drafts are temporary (cron cleans).</t>
        </is>
      </c>
    </row>
    <row r="34" ht="15" customHeight="1" s="18">
      <c r="A34" s="20" t="inlineStr">
        <is>
          <t>Docker volumes are on the root NVMe (133 GB free).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6" customWidth="1" style="17" min="1" max="1"/>
    <col width="42" customWidth="1" style="17" min="2" max="2"/>
    <col width="12" customWidth="1" style="17" min="3" max="3"/>
    <col width="14" customWidth="1" style="17" min="4" max="4"/>
    <col width="70" customWidth="1" style="17" min="5" max="5"/>
  </cols>
  <sheetData>
    <row r="1" ht="15" customHeight="1" s="18">
      <c r="A1" s="21" t="inlineStr">
        <is>
          <t>Setting</t>
        </is>
      </c>
      <c r="B1" s="21" t="inlineStr">
        <is>
          <t>File / place</t>
        </is>
      </c>
      <c r="C1" s="21" t="inlineStr">
        <is>
          <t>Default</t>
        </is>
      </c>
      <c r="D1" s="21" t="inlineStr">
        <is>
          <t>Tuned</t>
        </is>
      </c>
      <c r="E1" s="21" t="inlineStr">
        <is>
          <t>Why</t>
        </is>
      </c>
    </row>
    <row r="2" ht="15" customHeight="1" s="18">
      <c r="A2" s="22" t="inlineStr">
        <is>
          <t>MaxRequestWorkers / ServerLimit</t>
        </is>
      </c>
      <c r="B2" s="22" t="inlineStr">
        <is>
          <t>apache/conf/extra/httpd-mpm.conf (prefork)</t>
        </is>
      </c>
      <c r="C2" s="22" t="n">
        <v>250</v>
      </c>
      <c r="D2" s="22" t="n">
        <v>1000</v>
      </c>
      <c r="E2" s="22" t="inlineStr">
        <is>
          <t>prefork = 1 process per open connection; 1000 students need ~1000 connections</t>
        </is>
      </c>
    </row>
    <row r="3" ht="15" customHeight="1" s="18">
      <c r="A3" s="22" t="inlineStr">
        <is>
          <t>StartServers / Min / MaxSpareServers</t>
        </is>
      </c>
      <c r="B3" s="22" t="inlineStr">
        <is>
          <t>same</t>
        </is>
      </c>
      <c r="C3" s="22" t="inlineStr">
        <is>
          <t>5 / 5 / 10</t>
        </is>
      </c>
      <c r="D3" s="22" t="inlineStr">
        <is>
          <t>50 / 50 / 150</t>
        </is>
      </c>
      <c r="E3" s="22" t="inlineStr">
        <is>
          <t>avoid slow process spawning during bursts</t>
        </is>
      </c>
    </row>
    <row r="4" ht="15" customHeight="1" s="18">
      <c r="A4" s="22" t="inlineStr">
        <is>
          <t>MaxConnectionsPerChild</t>
        </is>
      </c>
      <c r="B4" s="22" t="inlineStr">
        <is>
          <t>same</t>
        </is>
      </c>
      <c r="C4" s="22" t="n">
        <v>0</v>
      </c>
      <c r="D4" s="22" t="n">
        <v>10000</v>
      </c>
      <c r="E4" s="22" t="inlineStr">
        <is>
          <t>recycle processes to cap PHP memory leaks</t>
        </is>
      </c>
    </row>
    <row r="5" ht="15" customHeight="1" s="18">
      <c r="A5" s="22" t="inlineStr">
        <is>
          <t>KeepAliveTimeout</t>
        </is>
      </c>
      <c r="B5" s="22" t="inlineStr">
        <is>
          <t>apache/conf/extra/httpd-default.conf</t>
        </is>
      </c>
      <c r="C5" s="22" t="inlineStr">
        <is>
          <t>5 s</t>
        </is>
      </c>
      <c r="D5" s="22" t="inlineStr">
        <is>
          <t>2 s</t>
        </is>
      </c>
      <c r="E5" s="22" t="inlineStr">
        <is>
          <t>idle connections release their worker sooner</t>
        </is>
      </c>
    </row>
    <row r="6" ht="15" customHeight="1" s="18">
      <c r="A6" s="22" t="inlineStr">
        <is>
          <t>max_connections</t>
        </is>
      </c>
      <c r="B6" s="22" t="inlineStr">
        <is>
          <t>MariaDB (SET GLOBAL)</t>
        </is>
      </c>
      <c r="C6" s="22" t="n">
        <v>151</v>
      </c>
      <c r="D6" s="22" t="n">
        <v>1100</v>
      </c>
      <c r="E6" s="22" t="inlineStr">
        <is>
          <t>each busy Apache/PHP process can open a DB connection</t>
        </is>
      </c>
    </row>
    <row r="7" ht="15" customHeight="1" s="18">
      <c r="A7" s="22" t="inlineStr">
        <is>
          <t>innodb_buffer_pool_size</t>
        </is>
      </c>
      <c r="B7" s="22" t="inlineStr">
        <is>
          <t>MariaDB (SET GLOBAL)</t>
        </is>
      </c>
      <c r="C7" s="22" t="inlineStr">
        <is>
          <t>128 MB</t>
        </is>
      </c>
      <c r="D7" s="22" t="inlineStr">
        <is>
          <t>2 GB</t>
        </is>
      </c>
      <c r="E7" s="22" t="inlineStr">
        <is>
          <t>keep DB in RAM as data grows</t>
        </is>
      </c>
    </row>
    <row r="8" ht="15" customHeight="1" s="18">
      <c r="A8" s="22" t="inlineStr">
        <is>
          <t>pm.max_children (PHP-FPM)</t>
        </is>
      </c>
      <c r="B8" s="22" t="inlineStr">
        <is>
          <t>php-fpm.d/www.conf</t>
        </is>
      </c>
      <c r="C8" s="22" t="n">
        <v>5</v>
      </c>
      <c r="D8" s="22" t="inlineStr">
        <is>
          <t>unchanged</t>
        </is>
      </c>
      <c r="E8" s="22" t="inlineStr">
        <is>
          <t>NOT used — this image runs PHP inside Apache (mod_php)</t>
        </is>
      </c>
    </row>
    <row r="9"/>
    <row r="10" ht="15" customHeight="1" s="18">
      <c r="A10" s="23" t="inlineStr">
        <is>
          <t>Status: applied live. Apache files survive docker restart but not container re-create; MariaDB values reset on DB restart. Persist by mounting loadtest/tuning/* in docker-compose.yaml (see report).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C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4" customWidth="1" style="17" min="1" max="1"/>
    <col width="14" customWidth="1" style="17" min="2" max="2"/>
    <col width="80" customWidth="1" style="17" min="3" max="3"/>
  </cols>
  <sheetData>
    <row r="1" ht="15" customHeight="1" s="18">
      <c r="A1" s="19" t="inlineStr">
        <is>
          <t>How many simultaneous students can this CPU handle? (estimate from Test C, edit yellow cells)</t>
        </is>
      </c>
    </row>
    <row r="2"/>
    <row r="3" ht="15" customHeight="1" s="18">
      <c r="A3" s="21" t="inlineStr">
        <is>
          <t>Input</t>
        </is>
      </c>
      <c r="B3" s="21" t="inlineStr">
        <is>
          <t>Value</t>
        </is>
      </c>
      <c r="C3" s="21" t="inlineStr">
        <is>
          <t>Note</t>
        </is>
      </c>
    </row>
    <row r="4" ht="15" customHeight="1" s="18">
      <c r="A4" s="22" t="inlineStr">
        <is>
          <t>CPU threads used at 1000 students</t>
        </is>
      </c>
      <c r="B4" s="33" t="n">
        <v>4.52</v>
      </c>
      <c r="C4" s="22" t="inlineStr">
        <is>
          <t>measured Test C peak: Moodle 3.63 + MariaDB 0.89</t>
        </is>
      </c>
    </row>
    <row r="5" ht="15" customHeight="1" s="18">
      <c r="A5" s="22" t="inlineStr">
        <is>
          <t>Logical threads available</t>
        </is>
      </c>
      <c r="B5" s="33" t="n">
        <v>24</v>
      </c>
      <c r="C5" s="22" t="inlineStr">
        <is>
          <t>user spec (i7-13700); actual test server has 28</t>
        </is>
      </c>
    </row>
    <row r="6" ht="15" customHeight="1" s="18">
      <c r="A6" s="22" t="inlineStr">
        <is>
          <t>Hyper-threading efficiency</t>
        </is>
      </c>
      <c r="B6" s="34" t="n">
        <v>0.7</v>
      </c>
      <c r="C6" s="22" t="inlineStr">
        <is>
          <t>assumption: 2 threads on one core ≈ 1.3–1.4 cores of work, and E-cores are slower</t>
        </is>
      </c>
    </row>
    <row r="7" ht="15" customHeight="1" s="18">
      <c r="A7" s="22" t="inlineStr">
        <is>
          <t>Headroom kept free</t>
        </is>
      </c>
      <c r="B7" s="34" t="n">
        <v>0.3</v>
      </c>
      <c r="C7" s="22" t="inlineStr">
        <is>
          <t>for spikes, cron, backups, other services on the box</t>
        </is>
      </c>
    </row>
    <row r="8" ht="15" customHeight="1" s="18">
      <c r="A8" s="22" t="inlineStr">
        <is>
          <t>RAM per 1000 students (GB)</t>
        </is>
      </c>
      <c r="B8" s="33" t="n">
        <v>1.7</v>
      </c>
      <c r="C8" s="22" t="inlineStr">
        <is>
          <t>measured Test C peak</t>
        </is>
      </c>
    </row>
    <row r="9"/>
    <row r="10"/>
    <row r="11" ht="15" customHeight="1" s="18">
      <c r="A11" s="21" t="inlineStr">
        <is>
          <t>Result</t>
        </is>
      </c>
      <c r="B11" s="21" t="inlineStr">
        <is>
          <t>Students</t>
        </is>
      </c>
      <c r="C11" s="21" t="inlineStr">
        <is>
          <t>Formula</t>
        </is>
      </c>
    </row>
    <row r="12" ht="15" customHeight="1" s="18">
      <c r="A12" s="22" t="inlineStr">
        <is>
          <t>Linear (ignores hyper-threading)</t>
        </is>
      </c>
      <c r="B12" s="24">
        <f>ROUND(B5*(1-B7)/B4*1000,-2)</f>
        <v/>
      </c>
      <c r="C12" s="22" t="inlineStr">
        <is>
          <t>threads × (1 − headroom) ÷ threads per 1000</t>
        </is>
      </c>
    </row>
    <row r="13" ht="15" customHeight="1" s="18">
      <c r="A13" s="22" t="inlineStr">
        <is>
          <t>Conservative (with HT efficiency)</t>
        </is>
      </c>
      <c r="B13" s="24">
        <f>ROUND(B5*B6*(1-B7)/B4*1000,-2)</f>
        <v/>
      </c>
      <c r="C13" s="22" t="inlineStr">
        <is>
          <t>threads × HT eff × (1 − headroom) ÷ threads per 1000</t>
        </is>
      </c>
    </row>
    <row r="14" ht="15" customHeight="1" s="18">
      <c r="A14" s="22" t="inlineStr">
        <is>
          <t>RAM needed at conservative figure (GB)</t>
        </is>
      </c>
      <c r="B14" s="24">
        <f>B13/1000*B8</f>
        <v/>
      </c>
      <c r="C14" s="22" t="n"/>
    </row>
    <row r="15"/>
    <row r="16" ht="15" customHeight="1" s="18">
      <c r="A16" s="20" t="inlineStr">
        <is>
          <t>Beyond ~1000 students the Apache prefork design (1 process per connection) becomes the limit before the CPU: switch to event MPM + PHP-FPM.</t>
        </is>
      </c>
    </row>
    <row r="17" ht="15" customHeight="1" s="18">
      <c r="A17" s="20" t="inlineStr">
        <is>
          <t>Not a measured maximum — a breaking-point test above 1000 needs more test accounts.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en-IN</dc:language>
  <dcterms:created xmlns:dcterms="http://purl.org/dc/terms/" xmlns:xsi="http://www.w3.org/2001/XMLSchema-instance" xsi:type="dcterms:W3CDTF">2026-09-29T13:22:36Z</dcterms:created>
  <dcterms:modified xmlns:dcterms="http://purl.org/dc/terms/" xmlns:xsi="http://www.w3.org/2001/XMLSchema-instance" xsi:type="dcterms:W3CDTF">2026-10-04T10:47:48Z</dcterms:modified>
  <cp:revision>1</cp:revision>
</cp:coreProperties>
</file>